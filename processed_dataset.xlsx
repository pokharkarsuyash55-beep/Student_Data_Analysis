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Admin\Desktop\New_folder_(4)\data analytics\student_analysis\"/>
    </mc:Choice>
  </mc:AlternateContent>
  <xr:revisionPtr revIDLastSave="0" documentId="13_ncr:1_{91AEF907-2962-4469-9AF2-6E99DC5C8339}" xr6:coauthVersionLast="47" xr6:coauthVersionMax="47" xr10:uidLastSave="{00000000-0000-0000-0000-000000000000}"/>
  <bookViews>
    <workbookView xWindow="0" yWindow="0" windowWidth="11520" windowHeight="12360" firstSheet="1" activeTab="2" xr2:uid="{00000000-000D-0000-FFFF-FFFF00000000}"/>
  </bookViews>
  <sheets>
    <sheet name="pivot table and chart" sheetId="6" r:id="rId1"/>
    <sheet name="Dashboard" sheetId="13" r:id="rId2"/>
    <sheet name="Dashboard (2)" sheetId="14" r:id="rId3"/>
    <sheet name="dataSet " sheetId="12" r:id="rId4"/>
  </sheets>
  <definedNames>
    <definedName name="_xlcn.WorksheetConnection_processed_dataset.xlsxdataSet__21" hidden="1">dataSet__2[]</definedName>
    <definedName name="_xlcn.WorksheetConnection_processed_dataset.xlsxTable11" hidden="1">Table1</definedName>
    <definedName name="ExternalData_2" localSheetId="3" hidden="1">'dataSet '!$A$1:$P$106</definedName>
    <definedName name="Slicer_class">#N/A</definedName>
    <definedName name="Slicer_from3">#N/A</definedName>
    <definedName name="Slicer_gende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s>
  <extLst>
    <ext xmlns:x14="http://schemas.microsoft.com/office/spreadsheetml/2009/9/main" uri="{876F7934-8845-4945-9796-88D515C7AA90}">
      <x14:pivotCaches>
        <pivotCache cacheId="16"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processed_dataset.xlsx!Table1"/>
          <x15:modelTable id="dataSet__2" name="dataSet__2" connection="WorksheetConnection_processed_dataset.xlsx!dataSet__2"/>
        </x15:modelTables>
      </x15:dataModel>
    </ext>
  </extLst>
</workbook>
</file>

<file path=xl/calcChain.xml><?xml version="1.0" encoding="utf-8"?>
<calcChain xmlns="http://schemas.openxmlformats.org/spreadsheetml/2006/main">
  <c r="B86" i="6" l="1"/>
  <c r="B83" i="6"/>
  <c r="B80" i="6"/>
  <c r="B77" i="6"/>
  <c r="B7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10D2B8-E983-4C59-A33D-487BBA80BD82}" keepAlive="1" name="Query - dataSet (2)" description="Connection to the 'dataSet (2)' query in the workbook." type="5" refreshedVersion="8" background="1" saveData="1">
    <dbPr connection="Provider=Microsoft.Mashup.OleDb.1;Data Source=$Workbook$;Location=&quot;dataSet (2)&quot;;Extended Properties=&quot;&quot;" command="SELECT * FROM [dataSet (2)]"/>
  </connection>
  <connection id="2" xr16:uid="{6558A882-2D2C-488C-8015-3ACFBBFDA2A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A216A22-324B-46D3-AF9F-544068244BFE}" name="WorksheetConnection_processed_dataset.xlsx!dataSet__2" type="102" refreshedVersion="8" minRefreshableVersion="5">
    <extLst>
      <ext xmlns:x15="http://schemas.microsoft.com/office/spreadsheetml/2010/11/main" uri="{DE250136-89BD-433C-8126-D09CA5730AF9}">
        <x15:connection id="dataSet__2" autoDelete="1">
          <x15:rangePr sourceName="_xlcn.WorksheetConnection_processed_dataset.xlsxdataSet__21"/>
        </x15:connection>
      </ext>
    </extLst>
  </connection>
  <connection id="4" xr16:uid="{10F8ECEC-5AA6-4F4D-9B80-461E93136781}" name="WorksheetConnection_processed_dataset.xlsx!Table1" type="102" refreshedVersion="8" minRefreshableVersion="5">
    <extLst>
      <ext xmlns:x15="http://schemas.microsoft.com/office/spreadsheetml/2010/11/main" uri="{DE250136-89BD-433C-8126-D09CA5730AF9}">
        <x15:connection id="Table1">
          <x15:rangePr sourceName="_xlcn.WorksheetConnection_processed_dataset.xlsxTable11"/>
        </x15:connection>
      </ext>
    </extLst>
  </connection>
</connections>
</file>

<file path=xl/sharedStrings.xml><?xml version="1.0" encoding="utf-8"?>
<sst xmlns="http://schemas.openxmlformats.org/spreadsheetml/2006/main" count="617" uniqueCount="62">
  <si>
    <t>ID</t>
  </si>
  <si>
    <t>class</t>
  </si>
  <si>
    <t>gender</t>
  </si>
  <si>
    <t>race</t>
  </si>
  <si>
    <t>GPA</t>
  </si>
  <si>
    <t>Algebra</t>
  </si>
  <si>
    <t>Calculus1</t>
  </si>
  <si>
    <t>Calculus2</t>
  </si>
  <si>
    <t>Statistics</t>
  </si>
  <si>
    <t>Probability</t>
  </si>
  <si>
    <t>Measure</t>
  </si>
  <si>
    <t>Functional_analysis</t>
  </si>
  <si>
    <t>from1</t>
  </si>
  <si>
    <t>from2</t>
  </si>
  <si>
    <t>from3</t>
  </si>
  <si>
    <t>y</t>
  </si>
  <si>
    <t>A</t>
  </si>
  <si>
    <t>male</t>
  </si>
  <si>
    <t>female</t>
  </si>
  <si>
    <t>B</t>
  </si>
  <si>
    <t>C</t>
  </si>
  <si>
    <t>D</t>
  </si>
  <si>
    <t>E</t>
  </si>
  <si>
    <t>F</t>
  </si>
  <si>
    <t>G</t>
  </si>
  <si>
    <t>H</t>
  </si>
  <si>
    <t>I</t>
  </si>
  <si>
    <t>J</t>
  </si>
  <si>
    <t>K</t>
  </si>
  <si>
    <t>L</t>
  </si>
  <si>
    <t>M</t>
  </si>
  <si>
    <t>N</t>
  </si>
  <si>
    <t>O</t>
  </si>
  <si>
    <t>P</t>
  </si>
  <si>
    <t>Q</t>
  </si>
  <si>
    <t>S</t>
  </si>
  <si>
    <t>R</t>
  </si>
  <si>
    <t>U</t>
  </si>
  <si>
    <t>V</t>
  </si>
  <si>
    <t>T</t>
  </si>
  <si>
    <t>Z</t>
  </si>
  <si>
    <t>W</t>
  </si>
  <si>
    <t>X</t>
  </si>
  <si>
    <t>Y</t>
  </si>
  <si>
    <t>AA</t>
  </si>
  <si>
    <t>AB</t>
  </si>
  <si>
    <t>Row Labels</t>
  </si>
  <si>
    <t>Grand Total</t>
  </si>
  <si>
    <t>Count of ID</t>
  </si>
  <si>
    <t>Sum of GPA</t>
  </si>
  <si>
    <t>Sum of Probability</t>
  </si>
  <si>
    <t>Sum of Algebra</t>
  </si>
  <si>
    <t>Sum of Calculus1</t>
  </si>
  <si>
    <t>Sum of Calculus2</t>
  </si>
  <si>
    <t>Column Labels</t>
  </si>
  <si>
    <t>Sum of Statistics</t>
  </si>
  <si>
    <t>Sum of Measure</t>
  </si>
  <si>
    <t>Sum of Functional_analysis</t>
  </si>
  <si>
    <t>Average of GPA</t>
  </si>
  <si>
    <t>Average of Probability</t>
  </si>
  <si>
    <t>Average of Statistics</t>
  </si>
  <si>
    <t>STUDENT ANALYSIS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</si>
</sst>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24"/>
      <color theme="1" tint="4.9989318521683403E-2"/>
      <name val="Calibri"/>
      <family val="2"/>
      <scheme val="minor"/>
    </font>
    <font>
      <sz val="11"/>
      <color theme="1" tint="4.9989318521683403E-2"/>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2" fontId="0" fillId="0" borderId="0" xfId="0" applyNumberFormat="1"/>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2" fillId="3" borderId="1" xfId="0" applyFont="1" applyFill="1" applyBorder="1" applyAlignment="1">
      <alignment horizontal="center"/>
    </xf>
    <xf numFmtId="0" fontId="2" fillId="3" borderId="12" xfId="0" applyFont="1" applyFill="1" applyBorder="1" applyAlignment="1">
      <alignment horizontal="center"/>
    </xf>
    <xf numFmtId="0" fontId="2" fillId="3" borderId="13"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7.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07/relationships/slicerCache" Target="slicerCaches/slicerCache3.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6.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chart!PivotTable17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Student Count by Class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'pivot table and chart'!$B$8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chart'!$A$9:$A$11</c:f>
              <c:strCache>
                <c:ptCount val="2"/>
                <c:pt idx="0">
                  <c:v>A</c:v>
                </c:pt>
                <c:pt idx="1">
                  <c:v>B</c:v>
                </c:pt>
              </c:strCache>
            </c:strRef>
          </c:cat>
          <c:val>
            <c:numRef>
              <c:f>'pivot table and chart'!$B$9:$B$11</c:f>
              <c:numCache>
                <c:formatCode>General</c:formatCode>
                <c:ptCount val="2"/>
                <c:pt idx="0">
                  <c:v>76</c:v>
                </c:pt>
                <c:pt idx="1">
                  <c:v>29</c:v>
                </c:pt>
              </c:numCache>
            </c:numRef>
          </c:val>
          <c:extLst>
            <c:ext xmlns:c16="http://schemas.microsoft.com/office/drawing/2014/chart" uri="{C3380CC4-5D6E-409C-BE32-E72D297353CC}">
              <c16:uniqueId val="{00000000-24E8-47B8-83E6-A7FD81ABC352}"/>
            </c:ext>
          </c:extLst>
        </c:ser>
        <c:dLbls>
          <c:dLblPos val="outEnd"/>
          <c:showLegendKey val="0"/>
          <c:showVal val="1"/>
          <c:showCatName val="0"/>
          <c:showSerName val="0"/>
          <c:showPercent val="0"/>
          <c:showBubbleSize val="0"/>
        </c:dLbls>
        <c:gapWidth val="100"/>
        <c:overlap val="-24"/>
        <c:axId val="430356847"/>
        <c:axId val="430357327"/>
      </c:barChart>
      <c:catAx>
        <c:axId val="4303568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57327"/>
        <c:crosses val="autoZero"/>
        <c:auto val="1"/>
        <c:lblAlgn val="ctr"/>
        <c:lblOffset val="100"/>
        <c:noMultiLvlLbl val="0"/>
      </c:catAx>
      <c:valAx>
        <c:axId val="430357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5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chart!PivotTable18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Distribution</a:t>
            </a:r>
            <a:r>
              <a:rPr lang="en-US" baseline="0"/>
              <a:t> by Gender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fld id="{F84D24A2-6ADB-48C3-88FE-BF0AE076BC00}" type="PERCENTAGE">
                  <a:rPr lang="en-US">
                    <a:ln>
                      <a:solidFill>
                        <a:schemeClr val="tx1"/>
                      </a:solidFill>
                    </a:ln>
                  </a:rPr>
                  <a:pPr>
                    <a:defRPr>
                      <a:ln>
                        <a:solidFill>
                          <a:schemeClr val="tx1"/>
                        </a:solidFill>
                      </a:ln>
                    </a:defRPr>
                  </a:pPr>
                  <a:t>[PERCENTAGE]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fld id="{D52E5638-81C7-4CC7-9E33-B67C7FF823DC}" type="PERCENTAGE">
                  <a:rPr lang="en-US">
                    <a:ln>
                      <a:solidFill>
                        <a:schemeClr val="tx1"/>
                      </a:solidFill>
                    </a:ln>
                  </a:rPr>
                  <a:pPr>
                    <a:defRPr>
                      <a:ln>
                        <a:solidFill>
                          <a:schemeClr val="tx1"/>
                        </a:solidFill>
                      </a:ln>
                    </a:defRPr>
                  </a:pPr>
                  <a:t>[PERCENTAGE]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 and chart'!$B$13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AAD-42E1-B652-116E16F67E1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9AAD-42E1-B652-116E16F67E17}"/>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fld id="{D52E5638-81C7-4CC7-9E33-B67C7FF823DC}" type="PERCENTAGE">
                      <a:rPr lang="en-US">
                        <a:ln>
                          <a:solidFill>
                            <a:schemeClr val="tx1"/>
                          </a:solidFill>
                        </a:ln>
                      </a:rPr>
                      <a:pPr>
                        <a:defRPr>
                          <a:ln>
                            <a:solidFill>
                              <a:schemeClr val="tx1"/>
                            </a:solidFill>
                          </a:ln>
                        </a:defRPr>
                      </a:pPr>
                      <a:t>[PERCENTAGE]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AAD-42E1-B652-116E16F67E17}"/>
                </c:ext>
              </c:extLst>
            </c:dLbl>
            <c:dLbl>
              <c:idx val="1"/>
              <c:tx>
                <c:rich>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fld id="{F84D24A2-6ADB-48C3-88FE-BF0AE076BC00}" type="PERCENTAGE">
                      <a:rPr lang="en-US">
                        <a:ln>
                          <a:solidFill>
                            <a:schemeClr val="tx1"/>
                          </a:solidFill>
                        </a:ln>
                      </a:rPr>
                      <a:pPr>
                        <a:defRPr>
                          <a:ln>
                            <a:solidFill>
                              <a:schemeClr val="tx1"/>
                            </a:solidFill>
                          </a:ln>
                        </a:defRPr>
                      </a:pPr>
                      <a:t>[PERCENTAGE]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AAD-42E1-B652-116E16F67E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chart'!$A$14:$A$16</c:f>
              <c:strCache>
                <c:ptCount val="2"/>
                <c:pt idx="0">
                  <c:v>female</c:v>
                </c:pt>
                <c:pt idx="1">
                  <c:v>male</c:v>
                </c:pt>
              </c:strCache>
            </c:strRef>
          </c:cat>
          <c:val>
            <c:numRef>
              <c:f>'pivot table and chart'!$B$14:$B$16</c:f>
              <c:numCache>
                <c:formatCode>General</c:formatCode>
                <c:ptCount val="2"/>
                <c:pt idx="0">
                  <c:v>68</c:v>
                </c:pt>
                <c:pt idx="1">
                  <c:v>37</c:v>
                </c:pt>
              </c:numCache>
            </c:numRef>
          </c:val>
          <c:extLst>
            <c:ext xmlns:c16="http://schemas.microsoft.com/office/drawing/2014/chart" uri="{C3380CC4-5D6E-409C-BE32-E72D297353CC}">
              <c16:uniqueId val="{00000000-9AAD-42E1-B652-116E16F67E1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chart!PivotTable19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GPA Distribution</a:t>
            </a:r>
            <a:r>
              <a:rPr lang="en-US" baseline="0"/>
              <a:t> by From3</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388888888888888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499999999999999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722222222222222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9999999999999975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6944444444444446"/>
              <c:y val="6.9444444444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and chart'!$B$19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6-5DF0-439A-ABC1-2DD6893E7495}"/>
              </c:ext>
            </c:extLst>
          </c:dPt>
          <c:dPt>
            <c:idx val="1"/>
            <c:invertIfNegative val="0"/>
            <c:bubble3D val="0"/>
            <c:extLst>
              <c:ext xmlns:c16="http://schemas.microsoft.com/office/drawing/2014/chart" uri="{C3380CC4-5D6E-409C-BE32-E72D297353CC}">
                <c16:uniqueId val="{00000005-5DF0-439A-ABC1-2DD6893E7495}"/>
              </c:ext>
            </c:extLst>
          </c:dPt>
          <c:dPt>
            <c:idx val="2"/>
            <c:invertIfNegative val="0"/>
            <c:bubble3D val="0"/>
            <c:extLst>
              <c:ext xmlns:c16="http://schemas.microsoft.com/office/drawing/2014/chart" uri="{C3380CC4-5D6E-409C-BE32-E72D297353CC}">
                <c16:uniqueId val="{00000004-5DF0-439A-ABC1-2DD6893E7495}"/>
              </c:ext>
            </c:extLst>
          </c:dPt>
          <c:dPt>
            <c:idx val="3"/>
            <c:invertIfNegative val="0"/>
            <c:bubble3D val="0"/>
            <c:extLst>
              <c:ext xmlns:c16="http://schemas.microsoft.com/office/drawing/2014/chart" uri="{C3380CC4-5D6E-409C-BE32-E72D297353CC}">
                <c16:uniqueId val="{00000003-5DF0-439A-ABC1-2DD6893E7495}"/>
              </c:ext>
            </c:extLst>
          </c:dPt>
          <c:dPt>
            <c:idx val="4"/>
            <c:invertIfNegative val="0"/>
            <c:bubble3D val="0"/>
            <c:extLst>
              <c:ext xmlns:c16="http://schemas.microsoft.com/office/drawing/2014/chart" uri="{C3380CC4-5D6E-409C-BE32-E72D297353CC}">
                <c16:uniqueId val="{00000002-5DF0-439A-ABC1-2DD6893E7495}"/>
              </c:ext>
            </c:extLst>
          </c:dPt>
          <c:dLbls>
            <c:dLbl>
              <c:idx val="0"/>
              <c:layout>
                <c:manualLayout>
                  <c:x val="0.36944444444444446"/>
                  <c:y val="6.944444444444444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DF0-439A-ABC1-2DD6893E7495}"/>
                </c:ext>
              </c:extLst>
            </c:dLbl>
            <c:dLbl>
              <c:idx val="1"/>
              <c:layout>
                <c:manualLayout>
                  <c:x val="4.9999999999999975E-2"/>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DF0-439A-ABC1-2DD6893E7495}"/>
                </c:ext>
              </c:extLst>
            </c:dLbl>
            <c:dLbl>
              <c:idx val="2"/>
              <c:layout>
                <c:manualLayout>
                  <c:x val="4.722222222222222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DF0-439A-ABC1-2DD6893E7495}"/>
                </c:ext>
              </c:extLst>
            </c:dLbl>
            <c:dLbl>
              <c:idx val="3"/>
              <c:layout>
                <c:manualLayout>
                  <c:x val="7.4999999999999997E-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F0-439A-ABC1-2DD6893E7495}"/>
                </c:ext>
              </c:extLst>
            </c:dLbl>
            <c:dLbl>
              <c:idx val="4"/>
              <c:layout>
                <c:manualLayout>
                  <c:x val="6.3888888888888884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DF0-439A-ABC1-2DD6893E74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chart'!$A$20:$A$25</c:f>
              <c:strCache>
                <c:ptCount val="5"/>
                <c:pt idx="0">
                  <c:v>A</c:v>
                </c:pt>
                <c:pt idx="1">
                  <c:v>B</c:v>
                </c:pt>
                <c:pt idx="2">
                  <c:v>C</c:v>
                </c:pt>
                <c:pt idx="3">
                  <c:v>D</c:v>
                </c:pt>
                <c:pt idx="4">
                  <c:v>S</c:v>
                </c:pt>
              </c:strCache>
            </c:strRef>
          </c:cat>
          <c:val>
            <c:numRef>
              <c:f>'pivot table and chart'!$B$20:$B$25</c:f>
              <c:numCache>
                <c:formatCode>General</c:formatCode>
                <c:ptCount val="5"/>
                <c:pt idx="0">
                  <c:v>6767.01</c:v>
                </c:pt>
                <c:pt idx="1">
                  <c:v>324.60000000000002</c:v>
                </c:pt>
                <c:pt idx="2">
                  <c:v>288.79000000000002</c:v>
                </c:pt>
                <c:pt idx="3">
                  <c:v>802.07</c:v>
                </c:pt>
                <c:pt idx="4">
                  <c:v>536.94000000000005</c:v>
                </c:pt>
              </c:numCache>
            </c:numRef>
          </c:val>
          <c:extLst>
            <c:ext xmlns:c16="http://schemas.microsoft.com/office/drawing/2014/chart" uri="{C3380CC4-5D6E-409C-BE32-E72D297353CC}">
              <c16:uniqueId val="{00000000-5DF0-439A-ABC1-2DD6893E7495}"/>
            </c:ext>
          </c:extLst>
        </c:ser>
        <c:dLbls>
          <c:dLblPos val="ctr"/>
          <c:showLegendKey val="0"/>
          <c:showVal val="1"/>
          <c:showCatName val="0"/>
          <c:showSerName val="0"/>
          <c:showPercent val="0"/>
          <c:showBubbleSize val="0"/>
        </c:dLbls>
        <c:gapWidth val="150"/>
        <c:overlap val="100"/>
        <c:axId val="1328545903"/>
        <c:axId val="1328542543"/>
      </c:barChart>
      <c:catAx>
        <c:axId val="13285459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542543"/>
        <c:crosses val="autoZero"/>
        <c:auto val="1"/>
        <c:lblAlgn val="ctr"/>
        <c:lblOffset val="100"/>
        <c:noMultiLvlLbl val="0"/>
      </c:catAx>
      <c:valAx>
        <c:axId val="1328542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54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chart!PivotTable20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Marks Distribution by From 3</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diamond"/>
          <c:size val="6"/>
          <c:spPr>
            <a:solidFill>
              <a:schemeClr val="bg2"/>
            </a:soli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chart'!$B$28</c:f>
              <c:strCache>
                <c:ptCount val="1"/>
                <c:pt idx="0">
                  <c:v>Sum of Calculus1</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chart'!$A$29:$A$34</c:f>
              <c:strCache>
                <c:ptCount val="5"/>
                <c:pt idx="0">
                  <c:v>A</c:v>
                </c:pt>
                <c:pt idx="1">
                  <c:v>B</c:v>
                </c:pt>
                <c:pt idx="2">
                  <c:v>C</c:v>
                </c:pt>
                <c:pt idx="3">
                  <c:v>D</c:v>
                </c:pt>
                <c:pt idx="4">
                  <c:v>S</c:v>
                </c:pt>
              </c:strCache>
            </c:strRef>
          </c:cat>
          <c:val>
            <c:numRef>
              <c:f>'pivot table and chart'!$B$29:$B$34</c:f>
              <c:numCache>
                <c:formatCode>General</c:formatCode>
                <c:ptCount val="5"/>
                <c:pt idx="0">
                  <c:v>5817</c:v>
                </c:pt>
                <c:pt idx="1">
                  <c:v>321</c:v>
                </c:pt>
                <c:pt idx="2">
                  <c:v>242</c:v>
                </c:pt>
                <c:pt idx="3">
                  <c:v>675</c:v>
                </c:pt>
                <c:pt idx="4">
                  <c:v>503</c:v>
                </c:pt>
              </c:numCache>
            </c:numRef>
          </c:val>
          <c:extLst>
            <c:ext xmlns:c16="http://schemas.microsoft.com/office/drawing/2014/chart" uri="{C3380CC4-5D6E-409C-BE32-E72D297353CC}">
              <c16:uniqueId val="{00000000-02B0-4C13-9D4A-9F518DCDB515}"/>
            </c:ext>
          </c:extLst>
        </c:ser>
        <c:ser>
          <c:idx val="1"/>
          <c:order val="1"/>
          <c:tx>
            <c:strRef>
              <c:f>'pivot table and chart'!$C$28</c:f>
              <c:strCache>
                <c:ptCount val="1"/>
                <c:pt idx="0">
                  <c:v>Sum of Algebra</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chart'!$A$29:$A$34</c:f>
              <c:strCache>
                <c:ptCount val="5"/>
                <c:pt idx="0">
                  <c:v>A</c:v>
                </c:pt>
                <c:pt idx="1">
                  <c:v>B</c:v>
                </c:pt>
                <c:pt idx="2">
                  <c:v>C</c:v>
                </c:pt>
                <c:pt idx="3">
                  <c:v>D</c:v>
                </c:pt>
                <c:pt idx="4">
                  <c:v>S</c:v>
                </c:pt>
              </c:strCache>
            </c:strRef>
          </c:cat>
          <c:val>
            <c:numRef>
              <c:f>'pivot table and chart'!$C$29:$C$34</c:f>
              <c:numCache>
                <c:formatCode>General</c:formatCode>
                <c:ptCount val="5"/>
                <c:pt idx="0">
                  <c:v>6167</c:v>
                </c:pt>
                <c:pt idx="1">
                  <c:v>302</c:v>
                </c:pt>
                <c:pt idx="2">
                  <c:v>250</c:v>
                </c:pt>
                <c:pt idx="3">
                  <c:v>746</c:v>
                </c:pt>
                <c:pt idx="4">
                  <c:v>521</c:v>
                </c:pt>
              </c:numCache>
            </c:numRef>
          </c:val>
          <c:extLst>
            <c:ext xmlns:c16="http://schemas.microsoft.com/office/drawing/2014/chart" uri="{C3380CC4-5D6E-409C-BE32-E72D297353CC}">
              <c16:uniqueId val="{00000001-02B0-4C13-9D4A-9F518DCDB515}"/>
            </c:ext>
          </c:extLst>
        </c:ser>
        <c:dLbls>
          <c:showLegendKey val="0"/>
          <c:showVal val="1"/>
          <c:showCatName val="0"/>
          <c:showSerName val="0"/>
          <c:showPercent val="0"/>
          <c:showBubbleSize val="0"/>
        </c:dLbls>
        <c:gapWidth val="219"/>
        <c:overlap val="-27"/>
        <c:axId val="1518245359"/>
        <c:axId val="1518247759"/>
      </c:barChart>
      <c:lineChart>
        <c:grouping val="standard"/>
        <c:varyColors val="0"/>
        <c:ser>
          <c:idx val="2"/>
          <c:order val="2"/>
          <c:tx>
            <c:strRef>
              <c:f>'pivot table and chart'!$D$28</c:f>
              <c:strCache>
                <c:ptCount val="1"/>
                <c:pt idx="0">
                  <c:v>Sum of Calculus2</c:v>
                </c:pt>
              </c:strCache>
            </c:strRef>
          </c:tx>
          <c:spPr>
            <a:ln w="34925" cap="rnd">
              <a:solidFill>
                <a:schemeClr val="accent3"/>
              </a:solidFill>
              <a:round/>
            </a:ln>
            <a:effectLst>
              <a:outerShdw blurRad="40000" dist="23000" dir="5400000" rotWithShape="0">
                <a:srgbClr val="000000">
                  <a:alpha val="35000"/>
                </a:srgbClr>
              </a:outerShdw>
            </a:effectLst>
          </c:spPr>
          <c:marker>
            <c:symbol val="diamond"/>
            <c:size val="6"/>
            <c:spPr>
              <a:solidFill>
                <a:schemeClr val="bg2"/>
              </a:soli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chart'!$A$29:$A$34</c:f>
              <c:strCache>
                <c:ptCount val="5"/>
                <c:pt idx="0">
                  <c:v>A</c:v>
                </c:pt>
                <c:pt idx="1">
                  <c:v>B</c:v>
                </c:pt>
                <c:pt idx="2">
                  <c:v>C</c:v>
                </c:pt>
                <c:pt idx="3">
                  <c:v>D</c:v>
                </c:pt>
                <c:pt idx="4">
                  <c:v>S</c:v>
                </c:pt>
              </c:strCache>
            </c:strRef>
          </c:cat>
          <c:val>
            <c:numRef>
              <c:f>'pivot table and chart'!$D$29:$D$34</c:f>
              <c:numCache>
                <c:formatCode>General</c:formatCode>
                <c:ptCount val="5"/>
                <c:pt idx="0">
                  <c:v>6463</c:v>
                </c:pt>
                <c:pt idx="1">
                  <c:v>313</c:v>
                </c:pt>
                <c:pt idx="2">
                  <c:v>260</c:v>
                </c:pt>
                <c:pt idx="3">
                  <c:v>722</c:v>
                </c:pt>
                <c:pt idx="4">
                  <c:v>560</c:v>
                </c:pt>
              </c:numCache>
            </c:numRef>
          </c:val>
          <c:smooth val="0"/>
          <c:extLst>
            <c:ext xmlns:c16="http://schemas.microsoft.com/office/drawing/2014/chart" uri="{C3380CC4-5D6E-409C-BE32-E72D297353CC}">
              <c16:uniqueId val="{00000002-02B0-4C13-9D4A-9F518DCDB515}"/>
            </c:ext>
          </c:extLst>
        </c:ser>
        <c:dLbls>
          <c:showLegendKey val="0"/>
          <c:showVal val="1"/>
          <c:showCatName val="0"/>
          <c:showSerName val="0"/>
          <c:showPercent val="0"/>
          <c:showBubbleSize val="0"/>
        </c:dLbls>
        <c:marker val="1"/>
        <c:smooth val="0"/>
        <c:axId val="1518245359"/>
        <c:axId val="1518247759"/>
      </c:lineChart>
      <c:catAx>
        <c:axId val="1518245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247759"/>
        <c:crosses val="autoZero"/>
        <c:auto val="1"/>
        <c:lblAlgn val="ctr"/>
        <c:lblOffset val="100"/>
        <c:noMultiLvlLbl val="0"/>
      </c:catAx>
      <c:valAx>
        <c:axId val="1518247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24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chart!PivotTable21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Probability by Y and class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chart'!$B$36:$B$37</c:f>
              <c:strCache>
                <c:ptCount val="1"/>
                <c:pt idx="0">
                  <c:v>A</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chart'!$A$38:$A$41</c:f>
              <c:strCache>
                <c:ptCount val="3"/>
                <c:pt idx="0">
                  <c:v>0</c:v>
                </c:pt>
                <c:pt idx="1">
                  <c:v>1</c:v>
                </c:pt>
                <c:pt idx="2">
                  <c:v>2</c:v>
                </c:pt>
              </c:strCache>
            </c:strRef>
          </c:cat>
          <c:val>
            <c:numRef>
              <c:f>'pivot table and chart'!$B$38:$B$41</c:f>
              <c:numCache>
                <c:formatCode>General</c:formatCode>
                <c:ptCount val="3"/>
                <c:pt idx="0">
                  <c:v>2968</c:v>
                </c:pt>
                <c:pt idx="1">
                  <c:v>1747</c:v>
                </c:pt>
                <c:pt idx="2">
                  <c:v>1638</c:v>
                </c:pt>
              </c:numCache>
            </c:numRef>
          </c:val>
          <c:extLst>
            <c:ext xmlns:c16="http://schemas.microsoft.com/office/drawing/2014/chart" uri="{C3380CC4-5D6E-409C-BE32-E72D297353CC}">
              <c16:uniqueId val="{00000000-BB6D-4A11-866E-319263C5FFEE}"/>
            </c:ext>
          </c:extLst>
        </c:ser>
        <c:ser>
          <c:idx val="1"/>
          <c:order val="1"/>
          <c:tx>
            <c:strRef>
              <c:f>'pivot table and chart'!$C$36:$C$37</c:f>
              <c:strCache>
                <c:ptCount val="1"/>
                <c:pt idx="0">
                  <c:v>B</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chart'!$A$38:$A$41</c:f>
              <c:strCache>
                <c:ptCount val="3"/>
                <c:pt idx="0">
                  <c:v>0</c:v>
                </c:pt>
                <c:pt idx="1">
                  <c:v>1</c:v>
                </c:pt>
                <c:pt idx="2">
                  <c:v>2</c:v>
                </c:pt>
              </c:strCache>
            </c:strRef>
          </c:cat>
          <c:val>
            <c:numRef>
              <c:f>'pivot table and chart'!$C$38:$C$41</c:f>
              <c:numCache>
                <c:formatCode>General</c:formatCode>
                <c:ptCount val="3"/>
                <c:pt idx="0">
                  <c:v>1518</c:v>
                </c:pt>
                <c:pt idx="1">
                  <c:v>452</c:v>
                </c:pt>
                <c:pt idx="2">
                  <c:v>519</c:v>
                </c:pt>
              </c:numCache>
            </c:numRef>
          </c:val>
          <c:extLst>
            <c:ext xmlns:c16="http://schemas.microsoft.com/office/drawing/2014/chart" uri="{C3380CC4-5D6E-409C-BE32-E72D297353CC}">
              <c16:uniqueId val="{00000000-447B-4BDE-B019-B92429F3B871}"/>
            </c:ext>
          </c:extLst>
        </c:ser>
        <c:dLbls>
          <c:dLblPos val="outEnd"/>
          <c:showLegendKey val="0"/>
          <c:showVal val="1"/>
          <c:showCatName val="0"/>
          <c:showSerName val="0"/>
          <c:showPercent val="0"/>
          <c:showBubbleSize val="0"/>
        </c:dLbls>
        <c:gapWidth val="100"/>
        <c:overlap val="-24"/>
        <c:axId val="1805174335"/>
        <c:axId val="1805178175"/>
      </c:barChart>
      <c:catAx>
        <c:axId val="18051743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178175"/>
        <c:crosses val="autoZero"/>
        <c:auto val="1"/>
        <c:lblAlgn val="ctr"/>
        <c:lblOffset val="100"/>
        <c:noMultiLvlLbl val="0"/>
      </c:catAx>
      <c:valAx>
        <c:axId val="1805178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17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chart!PivotTable22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GPA by Class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chart'!$B$44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chart'!$A$45:$A$47</c:f>
              <c:strCache>
                <c:ptCount val="2"/>
                <c:pt idx="0">
                  <c:v>A</c:v>
                </c:pt>
                <c:pt idx="1">
                  <c:v>B</c:v>
                </c:pt>
              </c:strCache>
            </c:strRef>
          </c:cat>
          <c:val>
            <c:numRef>
              <c:f>'pivot table and chart'!$B$45:$B$47</c:f>
              <c:numCache>
                <c:formatCode>0.00</c:formatCode>
                <c:ptCount val="2"/>
                <c:pt idx="0">
                  <c:v>82.96197368421052</c:v>
                </c:pt>
                <c:pt idx="1">
                  <c:v>83.251724137931035</c:v>
                </c:pt>
              </c:numCache>
            </c:numRef>
          </c:val>
          <c:extLst>
            <c:ext xmlns:c16="http://schemas.microsoft.com/office/drawing/2014/chart" uri="{C3380CC4-5D6E-409C-BE32-E72D297353CC}">
              <c16:uniqueId val="{00000000-4CB4-4904-8AE3-FFFD343BE0F4}"/>
            </c:ext>
          </c:extLst>
        </c:ser>
        <c:dLbls>
          <c:dLblPos val="outEnd"/>
          <c:showLegendKey val="0"/>
          <c:showVal val="1"/>
          <c:showCatName val="0"/>
          <c:showSerName val="0"/>
          <c:showPercent val="0"/>
          <c:showBubbleSize val="0"/>
        </c:dLbls>
        <c:gapWidth val="115"/>
        <c:overlap val="-20"/>
        <c:axId val="591632671"/>
        <c:axId val="591631231"/>
      </c:barChart>
      <c:catAx>
        <c:axId val="5916326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31231"/>
        <c:crosses val="autoZero"/>
        <c:auto val="1"/>
        <c:lblAlgn val="ctr"/>
        <c:lblOffset val="100"/>
        <c:noMultiLvlLbl val="0"/>
      </c:catAx>
      <c:valAx>
        <c:axId val="59163123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3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chart!PivotTable23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GPA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chart'!$B$49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chart'!$A$50:$A$52</c:f>
              <c:strCache>
                <c:ptCount val="2"/>
                <c:pt idx="0">
                  <c:v>female</c:v>
                </c:pt>
                <c:pt idx="1">
                  <c:v>male</c:v>
                </c:pt>
              </c:strCache>
            </c:strRef>
          </c:cat>
          <c:val>
            <c:numRef>
              <c:f>'pivot table and chart'!$B$50:$B$52</c:f>
              <c:numCache>
                <c:formatCode>0.00</c:formatCode>
                <c:ptCount val="2"/>
                <c:pt idx="0">
                  <c:v>83.597205882352938</c:v>
                </c:pt>
                <c:pt idx="1">
                  <c:v>82.02162162162162</c:v>
                </c:pt>
              </c:numCache>
            </c:numRef>
          </c:val>
          <c:extLst>
            <c:ext xmlns:c16="http://schemas.microsoft.com/office/drawing/2014/chart" uri="{C3380CC4-5D6E-409C-BE32-E72D297353CC}">
              <c16:uniqueId val="{00000000-D3BD-4912-A574-B839468ABEB6}"/>
            </c:ext>
          </c:extLst>
        </c:ser>
        <c:dLbls>
          <c:dLblPos val="outEnd"/>
          <c:showLegendKey val="0"/>
          <c:showVal val="1"/>
          <c:showCatName val="0"/>
          <c:showSerName val="0"/>
          <c:showPercent val="0"/>
          <c:showBubbleSize val="0"/>
        </c:dLbls>
        <c:gapWidth val="100"/>
        <c:overlap val="-24"/>
        <c:axId val="591631711"/>
        <c:axId val="591636991"/>
      </c:barChart>
      <c:catAx>
        <c:axId val="5916317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36991"/>
        <c:crosses val="autoZero"/>
        <c:auto val="1"/>
        <c:lblAlgn val="ctr"/>
        <c:lblOffset val="100"/>
        <c:noMultiLvlLbl val="0"/>
      </c:catAx>
      <c:valAx>
        <c:axId val="5916369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3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chart!PivotTable25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Functional_Analysis</a:t>
            </a:r>
            <a:r>
              <a:rPr lang="en-US" baseline="0"/>
              <a:t> by Y</a:t>
            </a:r>
            <a:endParaRPr lang="en-US"/>
          </a:p>
        </c:rich>
      </c:tx>
      <c:layout>
        <c:manualLayout>
          <c:xMode val="edge"/>
          <c:yMode val="edge"/>
          <c:x val="0.35089566929133859"/>
          <c:y val="7.76829979585885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35870516185476"/>
          <c:y val="0.16564596092155148"/>
          <c:w val="0.81519685039370082"/>
          <c:h val="0.75010279965004378"/>
        </c:manualLayout>
      </c:layout>
      <c:barChart>
        <c:barDir val="bar"/>
        <c:grouping val="clustered"/>
        <c:varyColors val="0"/>
        <c:ser>
          <c:idx val="0"/>
          <c:order val="0"/>
          <c:tx>
            <c:strRef>
              <c:f>'pivot table and chart'!$B$60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chart'!$A$61:$A$64</c:f>
              <c:strCache>
                <c:ptCount val="3"/>
                <c:pt idx="0">
                  <c:v>0</c:v>
                </c:pt>
                <c:pt idx="1">
                  <c:v>1</c:v>
                </c:pt>
                <c:pt idx="2">
                  <c:v>2</c:v>
                </c:pt>
              </c:strCache>
            </c:strRef>
          </c:cat>
          <c:val>
            <c:numRef>
              <c:f>'pivot table and chart'!$B$61:$B$64</c:f>
              <c:numCache>
                <c:formatCode>General</c:formatCode>
                <c:ptCount val="3"/>
                <c:pt idx="0">
                  <c:v>3946</c:v>
                </c:pt>
                <c:pt idx="1">
                  <c:v>2053</c:v>
                </c:pt>
                <c:pt idx="2">
                  <c:v>1941</c:v>
                </c:pt>
              </c:numCache>
            </c:numRef>
          </c:val>
          <c:extLst>
            <c:ext xmlns:c16="http://schemas.microsoft.com/office/drawing/2014/chart" uri="{C3380CC4-5D6E-409C-BE32-E72D297353CC}">
              <c16:uniqueId val="{00000000-1D67-4D95-82D3-2FD76173D4DE}"/>
            </c:ext>
          </c:extLst>
        </c:ser>
        <c:dLbls>
          <c:dLblPos val="outEnd"/>
          <c:showLegendKey val="0"/>
          <c:showVal val="1"/>
          <c:showCatName val="0"/>
          <c:showSerName val="0"/>
          <c:showPercent val="0"/>
          <c:showBubbleSize val="0"/>
        </c:dLbls>
        <c:gapWidth val="115"/>
        <c:overlap val="-20"/>
        <c:axId val="1518247279"/>
        <c:axId val="1518248719"/>
      </c:barChart>
      <c:catAx>
        <c:axId val="15182472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248719"/>
        <c:crosses val="autoZero"/>
        <c:auto val="1"/>
        <c:lblAlgn val="ctr"/>
        <c:lblOffset val="100"/>
        <c:noMultiLvlLbl val="0"/>
      </c:catAx>
      <c:valAx>
        <c:axId val="1518248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24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chart!PivotTable27</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Statistical_analysis by Class</a:t>
            </a:r>
            <a:r>
              <a:rPr lang="en-IN" baseline="0"/>
              <a:t> And Gender</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chart'!$B$66:$B$67</c:f>
              <c:strCache>
                <c:ptCount val="1"/>
                <c:pt idx="0">
                  <c:v>A</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chart'!$A$68:$A$70</c:f>
              <c:strCache>
                <c:ptCount val="2"/>
                <c:pt idx="0">
                  <c:v>female</c:v>
                </c:pt>
                <c:pt idx="1">
                  <c:v>male</c:v>
                </c:pt>
              </c:strCache>
            </c:strRef>
          </c:cat>
          <c:val>
            <c:numRef>
              <c:f>'pivot table and chart'!$B$68:$B$70</c:f>
              <c:numCache>
                <c:formatCode>General</c:formatCode>
                <c:ptCount val="2"/>
                <c:pt idx="0">
                  <c:v>4132</c:v>
                </c:pt>
                <c:pt idx="1">
                  <c:v>2358</c:v>
                </c:pt>
              </c:numCache>
            </c:numRef>
          </c:val>
          <c:extLst>
            <c:ext xmlns:c16="http://schemas.microsoft.com/office/drawing/2014/chart" uri="{C3380CC4-5D6E-409C-BE32-E72D297353CC}">
              <c16:uniqueId val="{00000000-FC3A-4266-AE1E-0CED34C87CDB}"/>
            </c:ext>
          </c:extLst>
        </c:ser>
        <c:ser>
          <c:idx val="1"/>
          <c:order val="1"/>
          <c:tx>
            <c:strRef>
              <c:f>'pivot table and chart'!$C$66:$C$67</c:f>
              <c:strCache>
                <c:ptCount val="1"/>
                <c:pt idx="0">
                  <c:v>B</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chart'!$A$68:$A$70</c:f>
              <c:strCache>
                <c:ptCount val="2"/>
                <c:pt idx="0">
                  <c:v>female</c:v>
                </c:pt>
                <c:pt idx="1">
                  <c:v>male</c:v>
                </c:pt>
              </c:strCache>
            </c:strRef>
          </c:cat>
          <c:val>
            <c:numRef>
              <c:f>'pivot table and chart'!$C$68:$C$70</c:f>
              <c:numCache>
                <c:formatCode>General</c:formatCode>
                <c:ptCount val="2"/>
                <c:pt idx="0">
                  <c:v>1678</c:v>
                </c:pt>
                <c:pt idx="1">
                  <c:v>791</c:v>
                </c:pt>
              </c:numCache>
            </c:numRef>
          </c:val>
          <c:extLst>
            <c:ext xmlns:c16="http://schemas.microsoft.com/office/drawing/2014/chart" uri="{C3380CC4-5D6E-409C-BE32-E72D297353CC}">
              <c16:uniqueId val="{00000001-2504-476C-BF7D-B63A8F7A84BE}"/>
            </c:ext>
          </c:extLst>
        </c:ser>
        <c:dLbls>
          <c:dLblPos val="outEnd"/>
          <c:showLegendKey val="0"/>
          <c:showVal val="1"/>
          <c:showCatName val="0"/>
          <c:showSerName val="0"/>
          <c:showPercent val="0"/>
          <c:showBubbleSize val="0"/>
        </c:dLbls>
        <c:gapWidth val="100"/>
        <c:overlap val="-24"/>
        <c:axId val="1801554207"/>
        <c:axId val="1801551327"/>
      </c:barChart>
      <c:catAx>
        <c:axId val="18015542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51327"/>
        <c:crosses val="autoZero"/>
        <c:auto val="1"/>
        <c:lblAlgn val="ctr"/>
        <c:lblOffset val="100"/>
        <c:noMultiLvlLbl val="0"/>
      </c:catAx>
      <c:valAx>
        <c:axId val="1801551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5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Sum</a:t>
            </a:r>
            <a:r>
              <a:rPr lang="en-IN" baseline="0"/>
              <a:t> of Calculus2  by From2 And Class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chart'!$B$93:$B$94</c:f>
              <c:strCache>
                <c:ptCount val="1"/>
                <c:pt idx="0">
                  <c:v>A</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chart'!$A$95:$A$97</c:f>
              <c:strCache>
                <c:ptCount val="2"/>
                <c:pt idx="0">
                  <c:v>A</c:v>
                </c:pt>
                <c:pt idx="1">
                  <c:v>B</c:v>
                </c:pt>
              </c:strCache>
            </c:strRef>
          </c:cat>
          <c:val>
            <c:numRef>
              <c:f>'pivot table and chart'!$B$95:$B$97</c:f>
              <c:numCache>
                <c:formatCode>General</c:formatCode>
                <c:ptCount val="2"/>
                <c:pt idx="0">
                  <c:v>2409</c:v>
                </c:pt>
              </c:numCache>
            </c:numRef>
          </c:val>
          <c:extLst>
            <c:ext xmlns:c16="http://schemas.microsoft.com/office/drawing/2014/chart" uri="{C3380CC4-5D6E-409C-BE32-E72D297353CC}">
              <c16:uniqueId val="{00000000-2C52-4615-AB69-EFD08E10A941}"/>
            </c:ext>
          </c:extLst>
        </c:ser>
        <c:ser>
          <c:idx val="1"/>
          <c:order val="1"/>
          <c:tx>
            <c:strRef>
              <c:f>'pivot table and chart'!$C$93:$C$94</c:f>
              <c:strCache>
                <c:ptCount val="1"/>
                <c:pt idx="0">
                  <c:v>B</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chart'!$A$95:$A$97</c:f>
              <c:strCache>
                <c:ptCount val="2"/>
                <c:pt idx="0">
                  <c:v>A</c:v>
                </c:pt>
                <c:pt idx="1">
                  <c:v>B</c:v>
                </c:pt>
              </c:strCache>
            </c:strRef>
          </c:cat>
          <c:val>
            <c:numRef>
              <c:f>'pivot table and chart'!$C$95:$C$97</c:f>
              <c:numCache>
                <c:formatCode>General</c:formatCode>
                <c:ptCount val="2"/>
                <c:pt idx="0">
                  <c:v>3591</c:v>
                </c:pt>
                <c:pt idx="1">
                  <c:v>2318</c:v>
                </c:pt>
              </c:numCache>
            </c:numRef>
          </c:val>
          <c:extLst>
            <c:ext xmlns:c16="http://schemas.microsoft.com/office/drawing/2014/chart" uri="{C3380CC4-5D6E-409C-BE32-E72D297353CC}">
              <c16:uniqueId val="{00000001-2C52-4615-AB69-EFD08E10A941}"/>
            </c:ext>
          </c:extLst>
        </c:ser>
        <c:dLbls>
          <c:dLblPos val="outEnd"/>
          <c:showLegendKey val="0"/>
          <c:showVal val="1"/>
          <c:showCatName val="0"/>
          <c:showSerName val="0"/>
          <c:showPercent val="0"/>
          <c:showBubbleSize val="0"/>
        </c:dLbls>
        <c:gapWidth val="115"/>
        <c:overlap val="-20"/>
        <c:axId val="1465559999"/>
        <c:axId val="1465560479"/>
      </c:barChart>
      <c:catAx>
        <c:axId val="14655599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60479"/>
        <c:crosses val="autoZero"/>
        <c:auto val="1"/>
        <c:lblAlgn val="ctr"/>
        <c:lblOffset val="100"/>
        <c:noMultiLvlLbl val="0"/>
      </c:catAx>
      <c:valAx>
        <c:axId val="1465560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5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chart!PivotTable17</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Student Count by Class</a:t>
            </a:r>
          </a:p>
        </c:rich>
      </c:tx>
      <c:layout>
        <c:manualLayout>
          <c:xMode val="edge"/>
          <c:yMode val="edge"/>
          <c:x val="0.28063188976377951"/>
          <c:y val="6.3918480778138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34936511321E-2"/>
          <c:y val="0.22919604732244289"/>
          <c:w val="0.89019685039370078"/>
          <c:h val="0.5748707251145847"/>
        </c:manualLayout>
      </c:layout>
      <c:barChart>
        <c:barDir val="col"/>
        <c:grouping val="clustered"/>
        <c:varyColors val="0"/>
        <c:ser>
          <c:idx val="0"/>
          <c:order val="0"/>
          <c:tx>
            <c:strRef>
              <c:f>'pivot table and chart'!$B$8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chart'!$A$9:$A$11</c:f>
              <c:strCache>
                <c:ptCount val="2"/>
                <c:pt idx="0">
                  <c:v>A</c:v>
                </c:pt>
                <c:pt idx="1">
                  <c:v>B</c:v>
                </c:pt>
              </c:strCache>
            </c:strRef>
          </c:cat>
          <c:val>
            <c:numRef>
              <c:f>'pivot table and chart'!$B$9:$B$11</c:f>
              <c:numCache>
                <c:formatCode>General</c:formatCode>
                <c:ptCount val="2"/>
                <c:pt idx="0">
                  <c:v>76</c:v>
                </c:pt>
                <c:pt idx="1">
                  <c:v>29</c:v>
                </c:pt>
              </c:numCache>
            </c:numRef>
          </c:val>
          <c:extLst>
            <c:ext xmlns:c16="http://schemas.microsoft.com/office/drawing/2014/chart" uri="{C3380CC4-5D6E-409C-BE32-E72D297353CC}">
              <c16:uniqueId val="{00000000-AF0F-45CD-9542-D6811EF485E7}"/>
            </c:ext>
          </c:extLst>
        </c:ser>
        <c:dLbls>
          <c:dLblPos val="outEnd"/>
          <c:showLegendKey val="0"/>
          <c:showVal val="1"/>
          <c:showCatName val="0"/>
          <c:showSerName val="0"/>
          <c:showPercent val="0"/>
          <c:showBubbleSize val="0"/>
        </c:dLbls>
        <c:gapWidth val="100"/>
        <c:overlap val="-24"/>
        <c:axId val="430356847"/>
        <c:axId val="430357327"/>
      </c:barChart>
      <c:catAx>
        <c:axId val="4303568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0357327"/>
        <c:crosses val="autoZero"/>
        <c:auto val="1"/>
        <c:lblAlgn val="ctr"/>
        <c:lblOffset val="100"/>
        <c:noMultiLvlLbl val="0"/>
      </c:catAx>
      <c:valAx>
        <c:axId val="430357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035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chart!PivotTable18</c:name>
    <c:fmtId val="9"/>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Distribution by Gender</a:t>
            </a:r>
          </a:p>
        </c:rich>
      </c:tx>
      <c:layout>
        <c:manualLayout>
          <c:xMode val="edge"/>
          <c:yMode val="edge"/>
          <c:x val="0.25888367165113535"/>
          <c:y val="4.4310637640883124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fld id="{D52E5638-81C7-4CC7-9E33-B67C7FF823DC}" type="PERCENTAGE">
                  <a:rPr lang="en-US"/>
                  <a:pPr>
                    <a:defRPr/>
                  </a:pPr>
                  <a:t>[PERCENTAGE]</a:t>
                </a:fld>
                <a:endParaRPr lang="en-IN"/>
              </a:p>
            </c:rich>
          </c:tx>
          <c:spPr>
            <a:noFill/>
            <a:ln>
              <a:solidFill>
                <a:schemeClr val="tx1"/>
              </a:solid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fld id="{F84D24A2-6ADB-48C3-88FE-BF0AE076BC00}" type="PERCENTAGE">
                  <a:rPr lang="en-US"/>
                  <a:pPr>
                    <a:defRPr/>
                  </a:pPr>
                  <a:t>[PERCENTAGE]</a:t>
                </a:fld>
                <a:endParaRPr lang="en-IN"/>
              </a:p>
            </c:rich>
          </c:tx>
          <c:spPr>
            <a:noFill/>
            <a:ln>
              <a:solidFill>
                <a:schemeClr val="tx1"/>
              </a:solid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6641796252573302"/>
          <c:y val="0.21336770870059152"/>
          <c:w val="0.36063631817071606"/>
          <c:h val="0.78663229129940848"/>
        </c:manualLayout>
      </c:layout>
      <c:pieChart>
        <c:varyColors val="1"/>
        <c:ser>
          <c:idx val="0"/>
          <c:order val="0"/>
          <c:tx>
            <c:strRef>
              <c:f>'pivot table and chart'!$B$13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8AC-45B2-B8D6-4C0536D5B87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8AC-45B2-B8D6-4C0536D5B874}"/>
              </c:ext>
            </c:extLst>
          </c:dPt>
          <c:dLbls>
            <c:dLbl>
              <c:idx val="0"/>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fld id="{D52E5638-81C7-4CC7-9E33-B67C7FF823DC}" type="PERCENTAGE">
                      <a:rPr lang="en-US"/>
                      <a:pPr>
                        <a:defRPr/>
                      </a:pPr>
                      <a:t>[PERCENTAGE]</a:t>
                    </a:fld>
                    <a:endParaRPr lang="en-IN"/>
                  </a:p>
                </c:rich>
              </c:tx>
              <c:spPr>
                <a:noFill/>
                <a:ln>
                  <a:solidFill>
                    <a:schemeClr val="tx1"/>
                  </a:solid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8AC-45B2-B8D6-4C0536D5B874}"/>
                </c:ext>
              </c:extLst>
            </c:dLbl>
            <c:dLbl>
              <c:idx val="1"/>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fld id="{F84D24A2-6ADB-48C3-88FE-BF0AE076BC00}" type="PERCENTAGE">
                      <a:rPr lang="en-US"/>
                      <a:pPr>
                        <a:defRPr/>
                      </a:pPr>
                      <a:t>[PERCENTAGE]</a:t>
                    </a:fld>
                    <a:endParaRPr lang="en-IN"/>
                  </a:p>
                </c:rich>
              </c:tx>
              <c:spPr>
                <a:noFill/>
                <a:ln>
                  <a:solidFill>
                    <a:schemeClr val="tx1"/>
                  </a:solid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8AC-45B2-B8D6-4C0536D5B874}"/>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chart'!$A$14:$A$16</c:f>
              <c:strCache>
                <c:ptCount val="2"/>
                <c:pt idx="0">
                  <c:v>female</c:v>
                </c:pt>
                <c:pt idx="1">
                  <c:v>male</c:v>
                </c:pt>
              </c:strCache>
            </c:strRef>
          </c:cat>
          <c:val>
            <c:numRef>
              <c:f>'pivot table and chart'!$B$14:$B$16</c:f>
              <c:numCache>
                <c:formatCode>General</c:formatCode>
                <c:ptCount val="2"/>
                <c:pt idx="0">
                  <c:v>68</c:v>
                </c:pt>
                <c:pt idx="1">
                  <c:v>37</c:v>
                </c:pt>
              </c:numCache>
            </c:numRef>
          </c:val>
          <c:extLst>
            <c:ext xmlns:c16="http://schemas.microsoft.com/office/drawing/2014/chart" uri="{C3380CC4-5D6E-409C-BE32-E72D297353CC}">
              <c16:uniqueId val="{00000004-F8AC-45B2-B8D6-4C0536D5B87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chart!PivotTable19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GPA Distribution by From3</a:t>
            </a:r>
          </a:p>
        </c:rich>
      </c:tx>
      <c:layout>
        <c:manualLayout>
          <c:xMode val="edge"/>
          <c:yMode val="edge"/>
          <c:x val="0.29927077865266849"/>
          <c:y val="0.1147200349956255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6944444444444446"/>
              <c:y val="6.9444444444444441E-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9999999999999975E-2"/>
              <c:y val="4.6296296296295444E-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7222222222222221E-2"/>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4999999999999997E-2"/>
              <c:y val="-4.6296296296296294E-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3888888888888884E-2"/>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and chart'!$B$19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62B5-4220-9BD3-44881F2D1754}"/>
              </c:ext>
            </c:extLst>
          </c:dPt>
          <c:dPt>
            <c:idx val="1"/>
            <c:invertIfNegative val="0"/>
            <c:bubble3D val="0"/>
            <c:extLst>
              <c:ext xmlns:c16="http://schemas.microsoft.com/office/drawing/2014/chart" uri="{C3380CC4-5D6E-409C-BE32-E72D297353CC}">
                <c16:uniqueId val="{00000001-62B5-4220-9BD3-44881F2D1754}"/>
              </c:ext>
            </c:extLst>
          </c:dPt>
          <c:dPt>
            <c:idx val="2"/>
            <c:invertIfNegative val="0"/>
            <c:bubble3D val="0"/>
            <c:extLst>
              <c:ext xmlns:c16="http://schemas.microsoft.com/office/drawing/2014/chart" uri="{C3380CC4-5D6E-409C-BE32-E72D297353CC}">
                <c16:uniqueId val="{00000002-62B5-4220-9BD3-44881F2D1754}"/>
              </c:ext>
            </c:extLst>
          </c:dPt>
          <c:dPt>
            <c:idx val="3"/>
            <c:invertIfNegative val="0"/>
            <c:bubble3D val="0"/>
            <c:extLst>
              <c:ext xmlns:c16="http://schemas.microsoft.com/office/drawing/2014/chart" uri="{C3380CC4-5D6E-409C-BE32-E72D297353CC}">
                <c16:uniqueId val="{00000003-62B5-4220-9BD3-44881F2D1754}"/>
              </c:ext>
            </c:extLst>
          </c:dPt>
          <c:dPt>
            <c:idx val="4"/>
            <c:invertIfNegative val="0"/>
            <c:bubble3D val="0"/>
            <c:extLst>
              <c:ext xmlns:c16="http://schemas.microsoft.com/office/drawing/2014/chart" uri="{C3380CC4-5D6E-409C-BE32-E72D297353CC}">
                <c16:uniqueId val="{00000004-62B5-4220-9BD3-44881F2D1754}"/>
              </c:ext>
            </c:extLst>
          </c:dPt>
          <c:dLbls>
            <c:dLbl>
              <c:idx val="0"/>
              <c:layout>
                <c:manualLayout>
                  <c:x val="0.36944444444444446"/>
                  <c:y val="6.944444444444444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B5-4220-9BD3-44881F2D1754}"/>
                </c:ext>
              </c:extLst>
            </c:dLbl>
            <c:dLbl>
              <c:idx val="1"/>
              <c:layout>
                <c:manualLayout>
                  <c:x val="4.9999999999999975E-2"/>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B5-4220-9BD3-44881F2D1754}"/>
                </c:ext>
              </c:extLst>
            </c:dLbl>
            <c:dLbl>
              <c:idx val="2"/>
              <c:layout>
                <c:manualLayout>
                  <c:x val="4.722222222222222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B5-4220-9BD3-44881F2D1754}"/>
                </c:ext>
              </c:extLst>
            </c:dLbl>
            <c:dLbl>
              <c:idx val="3"/>
              <c:layout>
                <c:manualLayout>
                  <c:x val="7.4999999999999997E-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B5-4220-9BD3-44881F2D1754}"/>
                </c:ext>
              </c:extLst>
            </c:dLbl>
            <c:dLbl>
              <c:idx val="4"/>
              <c:layout>
                <c:manualLayout>
                  <c:x val="6.3888888888888884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B5-4220-9BD3-44881F2D1754}"/>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chart'!$A$20:$A$25</c:f>
              <c:strCache>
                <c:ptCount val="5"/>
                <c:pt idx="0">
                  <c:v>A</c:v>
                </c:pt>
                <c:pt idx="1">
                  <c:v>B</c:v>
                </c:pt>
                <c:pt idx="2">
                  <c:v>C</c:v>
                </c:pt>
                <c:pt idx="3">
                  <c:v>D</c:v>
                </c:pt>
                <c:pt idx="4">
                  <c:v>S</c:v>
                </c:pt>
              </c:strCache>
            </c:strRef>
          </c:cat>
          <c:val>
            <c:numRef>
              <c:f>'pivot table and chart'!$B$20:$B$25</c:f>
              <c:numCache>
                <c:formatCode>General</c:formatCode>
                <c:ptCount val="5"/>
                <c:pt idx="0">
                  <c:v>6767.01</c:v>
                </c:pt>
                <c:pt idx="1">
                  <c:v>324.60000000000002</c:v>
                </c:pt>
                <c:pt idx="2">
                  <c:v>288.79000000000002</c:v>
                </c:pt>
                <c:pt idx="3">
                  <c:v>802.07</c:v>
                </c:pt>
                <c:pt idx="4">
                  <c:v>536.94000000000005</c:v>
                </c:pt>
              </c:numCache>
            </c:numRef>
          </c:val>
          <c:extLst>
            <c:ext xmlns:c16="http://schemas.microsoft.com/office/drawing/2014/chart" uri="{C3380CC4-5D6E-409C-BE32-E72D297353CC}">
              <c16:uniqueId val="{00000005-62B5-4220-9BD3-44881F2D1754}"/>
            </c:ext>
          </c:extLst>
        </c:ser>
        <c:dLbls>
          <c:dLblPos val="ctr"/>
          <c:showLegendKey val="0"/>
          <c:showVal val="1"/>
          <c:showCatName val="0"/>
          <c:showSerName val="0"/>
          <c:showPercent val="0"/>
          <c:showBubbleSize val="0"/>
        </c:dLbls>
        <c:gapWidth val="150"/>
        <c:overlap val="100"/>
        <c:axId val="1328545903"/>
        <c:axId val="1328542543"/>
      </c:barChart>
      <c:catAx>
        <c:axId val="13285459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8542543"/>
        <c:crosses val="autoZero"/>
        <c:auto val="1"/>
        <c:lblAlgn val="ctr"/>
        <c:lblOffset val="100"/>
        <c:noMultiLvlLbl val="0"/>
      </c:catAx>
      <c:valAx>
        <c:axId val="1328542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854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chart!PivotTable23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GPA by Gender</a:t>
            </a:r>
          </a:p>
        </c:rich>
      </c:tx>
      <c:overlay val="0"/>
      <c:spPr>
        <a:noFill/>
        <a:ln>
          <a:noFill/>
        </a:ln>
        <a:effectLst/>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chart'!$B$49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chart'!$A$50:$A$52</c:f>
              <c:strCache>
                <c:ptCount val="2"/>
                <c:pt idx="0">
                  <c:v>female</c:v>
                </c:pt>
                <c:pt idx="1">
                  <c:v>male</c:v>
                </c:pt>
              </c:strCache>
            </c:strRef>
          </c:cat>
          <c:val>
            <c:numRef>
              <c:f>'pivot table and chart'!$B$50:$B$52</c:f>
              <c:numCache>
                <c:formatCode>0.00</c:formatCode>
                <c:ptCount val="2"/>
                <c:pt idx="0">
                  <c:v>83.597205882352938</c:v>
                </c:pt>
                <c:pt idx="1">
                  <c:v>82.02162162162162</c:v>
                </c:pt>
              </c:numCache>
            </c:numRef>
          </c:val>
          <c:extLst>
            <c:ext xmlns:c16="http://schemas.microsoft.com/office/drawing/2014/chart" uri="{C3380CC4-5D6E-409C-BE32-E72D297353CC}">
              <c16:uniqueId val="{0000000C-F952-4CE3-9BEF-87B21C4B003D}"/>
            </c:ext>
          </c:extLst>
        </c:ser>
        <c:dLbls>
          <c:dLblPos val="outEnd"/>
          <c:showLegendKey val="0"/>
          <c:showVal val="1"/>
          <c:showCatName val="0"/>
          <c:showSerName val="0"/>
          <c:showPercent val="0"/>
          <c:showBubbleSize val="0"/>
        </c:dLbls>
        <c:gapWidth val="115"/>
        <c:axId val="591632671"/>
        <c:axId val="591631231"/>
      </c:barChart>
      <c:catAx>
        <c:axId val="5916326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31231"/>
        <c:crosses val="autoZero"/>
        <c:auto val="1"/>
        <c:lblAlgn val="ctr"/>
        <c:lblOffset val="100"/>
        <c:noMultiLvlLbl val="0"/>
      </c:catAx>
      <c:valAx>
        <c:axId val="5916312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32671"/>
        <c:crosses val="autoZero"/>
        <c:crossBetween val="between"/>
      </c:valAx>
      <c:spPr>
        <a:no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Sum of Calculus2  by From2 And Class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chart'!$B$93:$B$94</c:f>
              <c:strCache>
                <c:ptCount val="1"/>
                <c:pt idx="0">
                  <c:v>A</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chart'!$A$95:$A$97</c:f>
              <c:strCache>
                <c:ptCount val="2"/>
                <c:pt idx="0">
                  <c:v>A</c:v>
                </c:pt>
                <c:pt idx="1">
                  <c:v>B</c:v>
                </c:pt>
              </c:strCache>
            </c:strRef>
          </c:cat>
          <c:val>
            <c:numRef>
              <c:f>'pivot table and chart'!$B$95:$B$97</c:f>
              <c:numCache>
                <c:formatCode>General</c:formatCode>
                <c:ptCount val="2"/>
                <c:pt idx="0">
                  <c:v>2409</c:v>
                </c:pt>
              </c:numCache>
            </c:numRef>
          </c:val>
          <c:extLst>
            <c:ext xmlns:c16="http://schemas.microsoft.com/office/drawing/2014/chart" uri="{C3380CC4-5D6E-409C-BE32-E72D297353CC}">
              <c16:uniqueId val="{00000000-FC2D-4570-9AEF-6B8934FDEA67}"/>
            </c:ext>
          </c:extLst>
        </c:ser>
        <c:ser>
          <c:idx val="1"/>
          <c:order val="1"/>
          <c:tx>
            <c:strRef>
              <c:f>'pivot table and chart'!$C$93:$C$94</c:f>
              <c:strCache>
                <c:ptCount val="1"/>
                <c:pt idx="0">
                  <c:v>B</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chart'!$A$95:$A$97</c:f>
              <c:strCache>
                <c:ptCount val="2"/>
                <c:pt idx="0">
                  <c:v>A</c:v>
                </c:pt>
                <c:pt idx="1">
                  <c:v>B</c:v>
                </c:pt>
              </c:strCache>
            </c:strRef>
          </c:cat>
          <c:val>
            <c:numRef>
              <c:f>'pivot table and chart'!$C$95:$C$97</c:f>
              <c:numCache>
                <c:formatCode>General</c:formatCode>
                <c:ptCount val="2"/>
                <c:pt idx="0">
                  <c:v>3591</c:v>
                </c:pt>
                <c:pt idx="1">
                  <c:v>2318</c:v>
                </c:pt>
              </c:numCache>
            </c:numRef>
          </c:val>
          <c:extLst>
            <c:ext xmlns:c16="http://schemas.microsoft.com/office/drawing/2014/chart" uri="{C3380CC4-5D6E-409C-BE32-E72D297353CC}">
              <c16:uniqueId val="{00000001-FC2D-4570-9AEF-6B8934FDEA67}"/>
            </c:ext>
          </c:extLst>
        </c:ser>
        <c:dLbls>
          <c:dLblPos val="outEnd"/>
          <c:showLegendKey val="0"/>
          <c:showVal val="1"/>
          <c:showCatName val="0"/>
          <c:showSerName val="0"/>
          <c:showPercent val="0"/>
          <c:showBubbleSize val="0"/>
        </c:dLbls>
        <c:gapWidth val="115"/>
        <c:overlap val="-20"/>
        <c:axId val="1465559999"/>
        <c:axId val="1465560479"/>
      </c:barChart>
      <c:catAx>
        <c:axId val="14655599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5560479"/>
        <c:crosses val="autoZero"/>
        <c:auto val="1"/>
        <c:lblAlgn val="ctr"/>
        <c:lblOffset val="100"/>
        <c:noMultiLvlLbl val="0"/>
      </c:catAx>
      <c:valAx>
        <c:axId val="1465560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555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chart!PivotTable20</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Marks Distribution by From 3</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solidFill>
              <a:schemeClr val="bg2"/>
            </a:soli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solidFill>
              <a:schemeClr val="bg2"/>
            </a:soli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diamond"/>
          <c:size val="6"/>
          <c:spPr>
            <a:solidFill>
              <a:schemeClr val="bg2"/>
            </a:soli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58705161854774E-2"/>
          <c:y val="0.27458114610673667"/>
          <c:w val="0.87753018372703417"/>
          <c:h val="0.52644757946923304"/>
        </c:manualLayout>
      </c:layout>
      <c:barChart>
        <c:barDir val="col"/>
        <c:grouping val="clustered"/>
        <c:varyColors val="0"/>
        <c:ser>
          <c:idx val="0"/>
          <c:order val="0"/>
          <c:tx>
            <c:strRef>
              <c:f>'pivot table and chart'!$B$28</c:f>
              <c:strCache>
                <c:ptCount val="1"/>
                <c:pt idx="0">
                  <c:v>Sum of Calculus1</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chart'!$A$29:$A$34</c:f>
              <c:strCache>
                <c:ptCount val="5"/>
                <c:pt idx="0">
                  <c:v>A</c:v>
                </c:pt>
                <c:pt idx="1">
                  <c:v>B</c:v>
                </c:pt>
                <c:pt idx="2">
                  <c:v>C</c:v>
                </c:pt>
                <c:pt idx="3">
                  <c:v>D</c:v>
                </c:pt>
                <c:pt idx="4">
                  <c:v>S</c:v>
                </c:pt>
              </c:strCache>
            </c:strRef>
          </c:cat>
          <c:val>
            <c:numRef>
              <c:f>'pivot table and chart'!$B$29:$B$34</c:f>
              <c:numCache>
                <c:formatCode>General</c:formatCode>
                <c:ptCount val="5"/>
                <c:pt idx="0">
                  <c:v>5817</c:v>
                </c:pt>
                <c:pt idx="1">
                  <c:v>321</c:v>
                </c:pt>
                <c:pt idx="2">
                  <c:v>242</c:v>
                </c:pt>
                <c:pt idx="3">
                  <c:v>675</c:v>
                </c:pt>
                <c:pt idx="4">
                  <c:v>503</c:v>
                </c:pt>
              </c:numCache>
            </c:numRef>
          </c:val>
          <c:extLst>
            <c:ext xmlns:c16="http://schemas.microsoft.com/office/drawing/2014/chart" uri="{C3380CC4-5D6E-409C-BE32-E72D297353CC}">
              <c16:uniqueId val="{00000000-3D47-47B4-8D05-859D1AC216E8}"/>
            </c:ext>
          </c:extLst>
        </c:ser>
        <c:ser>
          <c:idx val="1"/>
          <c:order val="1"/>
          <c:tx>
            <c:strRef>
              <c:f>'pivot table and chart'!$C$28</c:f>
              <c:strCache>
                <c:ptCount val="1"/>
                <c:pt idx="0">
                  <c:v>Sum of Algebra</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chart'!$A$29:$A$34</c:f>
              <c:strCache>
                <c:ptCount val="5"/>
                <c:pt idx="0">
                  <c:v>A</c:v>
                </c:pt>
                <c:pt idx="1">
                  <c:v>B</c:v>
                </c:pt>
                <c:pt idx="2">
                  <c:v>C</c:v>
                </c:pt>
                <c:pt idx="3">
                  <c:v>D</c:v>
                </c:pt>
                <c:pt idx="4">
                  <c:v>S</c:v>
                </c:pt>
              </c:strCache>
            </c:strRef>
          </c:cat>
          <c:val>
            <c:numRef>
              <c:f>'pivot table and chart'!$C$29:$C$34</c:f>
              <c:numCache>
                <c:formatCode>General</c:formatCode>
                <c:ptCount val="5"/>
                <c:pt idx="0">
                  <c:v>6167</c:v>
                </c:pt>
                <c:pt idx="1">
                  <c:v>302</c:v>
                </c:pt>
                <c:pt idx="2">
                  <c:v>250</c:v>
                </c:pt>
                <c:pt idx="3">
                  <c:v>746</c:v>
                </c:pt>
                <c:pt idx="4">
                  <c:v>521</c:v>
                </c:pt>
              </c:numCache>
            </c:numRef>
          </c:val>
          <c:extLst>
            <c:ext xmlns:c16="http://schemas.microsoft.com/office/drawing/2014/chart" uri="{C3380CC4-5D6E-409C-BE32-E72D297353CC}">
              <c16:uniqueId val="{00000001-3D47-47B4-8D05-859D1AC216E8}"/>
            </c:ext>
          </c:extLst>
        </c:ser>
        <c:dLbls>
          <c:showLegendKey val="0"/>
          <c:showVal val="1"/>
          <c:showCatName val="0"/>
          <c:showSerName val="0"/>
          <c:showPercent val="0"/>
          <c:showBubbleSize val="0"/>
        </c:dLbls>
        <c:gapWidth val="219"/>
        <c:overlap val="-27"/>
        <c:axId val="1518245359"/>
        <c:axId val="1518247759"/>
      </c:barChart>
      <c:lineChart>
        <c:grouping val="standard"/>
        <c:varyColors val="0"/>
        <c:ser>
          <c:idx val="2"/>
          <c:order val="2"/>
          <c:tx>
            <c:strRef>
              <c:f>'pivot table and chart'!$D$28</c:f>
              <c:strCache>
                <c:ptCount val="1"/>
                <c:pt idx="0">
                  <c:v>Sum of Calculus2</c:v>
                </c:pt>
              </c:strCache>
            </c:strRef>
          </c:tx>
          <c:spPr>
            <a:ln w="34925" cap="rnd">
              <a:solidFill>
                <a:schemeClr val="accent3"/>
              </a:solidFill>
              <a:round/>
            </a:ln>
            <a:effectLst>
              <a:outerShdw blurRad="40000" dist="23000" dir="5400000" rotWithShape="0">
                <a:srgbClr val="000000">
                  <a:alpha val="35000"/>
                </a:srgbClr>
              </a:outerShdw>
            </a:effectLst>
          </c:spPr>
          <c:marker>
            <c:symbol val="diamond"/>
            <c:size val="6"/>
            <c:spPr>
              <a:solidFill>
                <a:schemeClr val="bg2"/>
              </a:soli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chart'!$A$29:$A$34</c:f>
              <c:strCache>
                <c:ptCount val="5"/>
                <c:pt idx="0">
                  <c:v>A</c:v>
                </c:pt>
                <c:pt idx="1">
                  <c:v>B</c:v>
                </c:pt>
                <c:pt idx="2">
                  <c:v>C</c:v>
                </c:pt>
                <c:pt idx="3">
                  <c:v>D</c:v>
                </c:pt>
                <c:pt idx="4">
                  <c:v>S</c:v>
                </c:pt>
              </c:strCache>
            </c:strRef>
          </c:cat>
          <c:val>
            <c:numRef>
              <c:f>'pivot table and chart'!$D$29:$D$34</c:f>
              <c:numCache>
                <c:formatCode>General</c:formatCode>
                <c:ptCount val="5"/>
                <c:pt idx="0">
                  <c:v>6463</c:v>
                </c:pt>
                <c:pt idx="1">
                  <c:v>313</c:v>
                </c:pt>
                <c:pt idx="2">
                  <c:v>260</c:v>
                </c:pt>
                <c:pt idx="3">
                  <c:v>722</c:v>
                </c:pt>
                <c:pt idx="4">
                  <c:v>560</c:v>
                </c:pt>
              </c:numCache>
            </c:numRef>
          </c:val>
          <c:smooth val="0"/>
          <c:extLst>
            <c:ext xmlns:c16="http://schemas.microsoft.com/office/drawing/2014/chart" uri="{C3380CC4-5D6E-409C-BE32-E72D297353CC}">
              <c16:uniqueId val="{00000002-3D47-47B4-8D05-859D1AC216E8}"/>
            </c:ext>
          </c:extLst>
        </c:ser>
        <c:dLbls>
          <c:showLegendKey val="0"/>
          <c:showVal val="1"/>
          <c:showCatName val="0"/>
          <c:showSerName val="0"/>
          <c:showPercent val="0"/>
          <c:showBubbleSize val="0"/>
        </c:dLbls>
        <c:marker val="1"/>
        <c:smooth val="0"/>
        <c:axId val="1518245359"/>
        <c:axId val="1518247759"/>
      </c:lineChart>
      <c:catAx>
        <c:axId val="1518245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8247759"/>
        <c:crosses val="autoZero"/>
        <c:auto val="1"/>
        <c:lblAlgn val="ctr"/>
        <c:lblOffset val="100"/>
        <c:noMultiLvlLbl val="0"/>
      </c:catAx>
      <c:valAx>
        <c:axId val="1518247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824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chart!PivotTable21</c:name>
    <c:fmtId val="5"/>
  </c:pivotSource>
  <c:chart>
    <c:title>
      <c:tx>
        <c:rich>
          <a:bodyPr rot="0" vert="horz"/>
          <a:lstStyle/>
          <a:p>
            <a:pPr>
              <a:defRPr/>
            </a:pPr>
            <a:r>
              <a:rPr lang="en-US"/>
              <a:t>Probability by Y and class</a:t>
            </a:r>
          </a:p>
        </c:rich>
      </c:tx>
      <c:layout>
        <c:manualLayout>
          <c:xMode val="edge"/>
          <c:yMode val="edge"/>
          <c:x val="0.35089566929133859"/>
          <c:y val="7.7682997958588504E-2"/>
        </c:manualLayout>
      </c:layout>
      <c:overlay val="0"/>
      <c:spPr>
        <a:noFill/>
        <a:ln>
          <a:noFill/>
        </a:ln>
        <a:effectLst/>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35870516185476"/>
          <c:y val="0.16564596092155148"/>
          <c:w val="0.81519685039370082"/>
          <c:h val="0.75010279965004378"/>
        </c:manualLayout>
      </c:layout>
      <c:barChart>
        <c:barDir val="bar"/>
        <c:grouping val="clustered"/>
        <c:varyColors val="0"/>
        <c:ser>
          <c:idx val="0"/>
          <c:order val="0"/>
          <c:tx>
            <c:strRef>
              <c:f>'pivot table and chart'!$B$36:$B$37</c:f>
              <c:strCache>
                <c:ptCount val="1"/>
                <c:pt idx="0">
                  <c:v>A</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vert="horz"/>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chart'!$A$38:$A$41</c:f>
              <c:strCache>
                <c:ptCount val="3"/>
                <c:pt idx="0">
                  <c:v>0</c:v>
                </c:pt>
                <c:pt idx="1">
                  <c:v>1</c:v>
                </c:pt>
                <c:pt idx="2">
                  <c:v>2</c:v>
                </c:pt>
              </c:strCache>
            </c:strRef>
          </c:cat>
          <c:val>
            <c:numRef>
              <c:f>'pivot table and chart'!$B$38:$B$41</c:f>
              <c:numCache>
                <c:formatCode>General</c:formatCode>
                <c:ptCount val="3"/>
                <c:pt idx="0">
                  <c:v>2968</c:v>
                </c:pt>
                <c:pt idx="1">
                  <c:v>1747</c:v>
                </c:pt>
                <c:pt idx="2">
                  <c:v>1638</c:v>
                </c:pt>
              </c:numCache>
            </c:numRef>
          </c:val>
          <c:extLst>
            <c:ext xmlns:c16="http://schemas.microsoft.com/office/drawing/2014/chart" uri="{C3380CC4-5D6E-409C-BE32-E72D297353CC}">
              <c16:uniqueId val="{00000003-B88C-4B88-9A1C-8EE59FFC027C}"/>
            </c:ext>
          </c:extLst>
        </c:ser>
        <c:ser>
          <c:idx val="1"/>
          <c:order val="1"/>
          <c:tx>
            <c:strRef>
              <c:f>'pivot table and chart'!$C$36:$C$37</c:f>
              <c:strCache>
                <c:ptCount val="1"/>
                <c:pt idx="0">
                  <c:v>B</c:v>
                </c:pt>
              </c:strCache>
            </c:strRef>
          </c:tx>
          <c:invertIfNegative val="0"/>
          <c:dLbls>
            <c:spPr>
              <a:noFill/>
              <a:ln>
                <a:noFill/>
              </a:ln>
              <a:effectLst/>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 and chart'!$A$38:$A$41</c:f>
              <c:strCache>
                <c:ptCount val="3"/>
                <c:pt idx="0">
                  <c:v>0</c:v>
                </c:pt>
                <c:pt idx="1">
                  <c:v>1</c:v>
                </c:pt>
                <c:pt idx="2">
                  <c:v>2</c:v>
                </c:pt>
              </c:strCache>
            </c:strRef>
          </c:cat>
          <c:val>
            <c:numRef>
              <c:f>'pivot table and chart'!$C$38:$C$41</c:f>
              <c:numCache>
                <c:formatCode>General</c:formatCode>
                <c:ptCount val="3"/>
                <c:pt idx="0">
                  <c:v>1518</c:v>
                </c:pt>
                <c:pt idx="1">
                  <c:v>452</c:v>
                </c:pt>
                <c:pt idx="2">
                  <c:v>519</c:v>
                </c:pt>
              </c:numCache>
            </c:numRef>
          </c:val>
          <c:extLst>
            <c:ext xmlns:c16="http://schemas.microsoft.com/office/drawing/2014/chart" uri="{C3380CC4-5D6E-409C-BE32-E72D297353CC}">
              <c16:uniqueId val="{00000004-B88C-4B88-9A1C-8EE59FFC027C}"/>
            </c:ext>
          </c:extLst>
        </c:ser>
        <c:dLbls>
          <c:dLblPos val="outEnd"/>
          <c:showLegendKey val="0"/>
          <c:showVal val="1"/>
          <c:showCatName val="0"/>
          <c:showSerName val="0"/>
          <c:showPercent val="0"/>
          <c:showBubbleSize val="0"/>
        </c:dLbls>
        <c:gapWidth val="115"/>
        <c:overlap val="-20"/>
        <c:axId val="1518247279"/>
        <c:axId val="1518248719"/>
      </c:barChart>
      <c:catAx>
        <c:axId val="15182472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vert="horz"/>
          <a:lstStyle/>
          <a:p>
            <a:pPr>
              <a:defRPr/>
            </a:pPr>
            <a:endParaRPr lang="en-US"/>
          </a:p>
        </c:txPr>
        <c:crossAx val="1518248719"/>
        <c:crosses val="autoZero"/>
        <c:auto val="1"/>
        <c:lblAlgn val="ctr"/>
        <c:lblOffset val="100"/>
        <c:noMultiLvlLbl val="0"/>
      </c:catAx>
      <c:valAx>
        <c:axId val="1518248719"/>
        <c:scaling>
          <c:orientation val="minMax"/>
        </c:scaling>
        <c:delete val="0"/>
        <c:axPos val="b"/>
        <c:numFmt formatCode="General" sourceLinked="1"/>
        <c:majorTickMark val="none"/>
        <c:minorTickMark val="none"/>
        <c:tickLblPos val="nextTo"/>
        <c:spPr>
          <a:noFill/>
          <a:ln>
            <a:noFill/>
          </a:ln>
          <a:effectLst/>
        </c:spPr>
        <c:txPr>
          <a:bodyPr rot="-60000000" vert="horz"/>
          <a:lstStyle/>
          <a:p>
            <a:pPr>
              <a:defRPr/>
            </a:pPr>
            <a:endParaRPr lang="en-US"/>
          </a:p>
        </c:txPr>
        <c:crossAx val="1518247279"/>
        <c:crosses val="autoZero"/>
        <c:crossBetween val="between"/>
      </c:valAx>
      <c:spPr>
        <a:noFill/>
        <a:ln>
          <a:noFill/>
        </a:ln>
        <a:effectLst/>
      </c:spPr>
    </c:plotArea>
    <c:plotVisOnly val="1"/>
    <c:dispBlanksAs val="gap"/>
    <c:showDLblsOverMax val="0"/>
    <c:extLst/>
  </c:chart>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chart!PivotTable22</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GPA by Class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chart'!$B$44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chart'!$A$45:$A$47</c:f>
              <c:strCache>
                <c:ptCount val="2"/>
                <c:pt idx="0">
                  <c:v>A</c:v>
                </c:pt>
                <c:pt idx="1">
                  <c:v>B</c:v>
                </c:pt>
              </c:strCache>
            </c:strRef>
          </c:cat>
          <c:val>
            <c:numRef>
              <c:f>'pivot table and chart'!$B$45:$B$47</c:f>
              <c:numCache>
                <c:formatCode>0.00</c:formatCode>
                <c:ptCount val="2"/>
                <c:pt idx="0">
                  <c:v>82.96197368421052</c:v>
                </c:pt>
                <c:pt idx="1">
                  <c:v>83.251724137931035</c:v>
                </c:pt>
              </c:numCache>
            </c:numRef>
          </c:val>
          <c:extLst>
            <c:ext xmlns:c16="http://schemas.microsoft.com/office/drawing/2014/chart" uri="{C3380CC4-5D6E-409C-BE32-E72D297353CC}">
              <c16:uniqueId val="{00000000-FC7B-4F8D-8C44-C12BC69AC76D}"/>
            </c:ext>
          </c:extLst>
        </c:ser>
        <c:dLbls>
          <c:dLblPos val="outEnd"/>
          <c:showLegendKey val="0"/>
          <c:showVal val="1"/>
          <c:showCatName val="0"/>
          <c:showSerName val="0"/>
          <c:showPercent val="0"/>
          <c:showBubbleSize val="0"/>
        </c:dLbls>
        <c:gapWidth val="115"/>
        <c:overlap val="-20"/>
        <c:axId val="591632671"/>
        <c:axId val="591631231"/>
      </c:barChart>
      <c:catAx>
        <c:axId val="5916326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1631231"/>
        <c:crosses val="autoZero"/>
        <c:auto val="1"/>
        <c:lblAlgn val="ctr"/>
        <c:lblOffset val="100"/>
        <c:noMultiLvlLbl val="0"/>
      </c:catAx>
      <c:valAx>
        <c:axId val="59163123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163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chart!PivotTable27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Statistical_analysis by Class And Gender</a:t>
            </a:r>
          </a:p>
        </c:rich>
      </c:tx>
      <c:layout>
        <c:manualLayout>
          <c:xMode val="edge"/>
          <c:yMode val="edge"/>
          <c:x val="0.24812269678411411"/>
          <c:y val="3.837667701895829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41122511201251"/>
          <c:y val="0.33757986426995429"/>
          <c:w val="0.8515517378509504"/>
          <c:h val="0.37704300906609783"/>
        </c:manualLayout>
      </c:layout>
      <c:barChart>
        <c:barDir val="col"/>
        <c:grouping val="clustered"/>
        <c:varyColors val="0"/>
        <c:ser>
          <c:idx val="0"/>
          <c:order val="0"/>
          <c:tx>
            <c:strRef>
              <c:f>'pivot table and chart'!$B$66:$B$67</c:f>
              <c:strCache>
                <c:ptCount val="1"/>
                <c:pt idx="0">
                  <c:v>A</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chart'!$A$68:$A$70</c:f>
              <c:strCache>
                <c:ptCount val="2"/>
                <c:pt idx="0">
                  <c:v>female</c:v>
                </c:pt>
                <c:pt idx="1">
                  <c:v>male</c:v>
                </c:pt>
              </c:strCache>
            </c:strRef>
          </c:cat>
          <c:val>
            <c:numRef>
              <c:f>'pivot table and chart'!$B$68:$B$70</c:f>
              <c:numCache>
                <c:formatCode>General</c:formatCode>
                <c:ptCount val="2"/>
                <c:pt idx="0">
                  <c:v>4132</c:v>
                </c:pt>
                <c:pt idx="1">
                  <c:v>2358</c:v>
                </c:pt>
              </c:numCache>
            </c:numRef>
          </c:val>
          <c:extLst>
            <c:ext xmlns:c16="http://schemas.microsoft.com/office/drawing/2014/chart" uri="{C3380CC4-5D6E-409C-BE32-E72D297353CC}">
              <c16:uniqueId val="{00000000-6BA6-48AC-B794-532339C2B9CE}"/>
            </c:ext>
          </c:extLst>
        </c:ser>
        <c:ser>
          <c:idx val="1"/>
          <c:order val="1"/>
          <c:tx>
            <c:strRef>
              <c:f>'pivot table and chart'!$C$66:$C$67</c:f>
              <c:strCache>
                <c:ptCount val="1"/>
                <c:pt idx="0">
                  <c:v>B</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chart'!$A$68:$A$70</c:f>
              <c:strCache>
                <c:ptCount val="2"/>
                <c:pt idx="0">
                  <c:v>female</c:v>
                </c:pt>
                <c:pt idx="1">
                  <c:v>male</c:v>
                </c:pt>
              </c:strCache>
            </c:strRef>
          </c:cat>
          <c:val>
            <c:numRef>
              <c:f>'pivot table and chart'!$C$68:$C$70</c:f>
              <c:numCache>
                <c:formatCode>General</c:formatCode>
                <c:ptCount val="2"/>
                <c:pt idx="0">
                  <c:v>1678</c:v>
                </c:pt>
                <c:pt idx="1">
                  <c:v>791</c:v>
                </c:pt>
              </c:numCache>
            </c:numRef>
          </c:val>
          <c:extLst>
            <c:ext xmlns:c16="http://schemas.microsoft.com/office/drawing/2014/chart" uri="{C3380CC4-5D6E-409C-BE32-E72D297353CC}">
              <c16:uniqueId val="{00000001-6BA6-48AC-B794-532339C2B9CE}"/>
            </c:ext>
          </c:extLst>
        </c:ser>
        <c:dLbls>
          <c:dLblPos val="outEnd"/>
          <c:showLegendKey val="0"/>
          <c:showVal val="1"/>
          <c:showCatName val="0"/>
          <c:showSerName val="0"/>
          <c:showPercent val="0"/>
          <c:showBubbleSize val="0"/>
        </c:dLbls>
        <c:gapWidth val="100"/>
        <c:overlap val="-24"/>
        <c:axId val="1801554207"/>
        <c:axId val="1801551327"/>
      </c:barChart>
      <c:catAx>
        <c:axId val="18015542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1551327"/>
        <c:crosses val="autoZero"/>
        <c:auto val="1"/>
        <c:lblAlgn val="ctr"/>
        <c:lblOffset val="100"/>
        <c:noMultiLvlLbl val="0"/>
      </c:catAx>
      <c:valAx>
        <c:axId val="1801551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155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[processed_dataset.xlsx]pivot table and chart!PivotTable25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Functional_Analysis by Y</a:t>
            </a:r>
          </a:p>
        </c:rich>
      </c:tx>
      <c:layout>
        <c:manualLayout>
          <c:xMode val="edge"/>
          <c:yMode val="edge"/>
          <c:x val="0.16628083274331854"/>
          <c:y val="0.13719097859803098"/>
        </c:manualLayout>
      </c:layout>
      <c:overlay val="0"/>
      <c:spPr>
        <a:noFill/>
        <a:ln>
          <a:noFill/>
        </a:ln>
        <a:effectLst/>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41122511201251"/>
          <c:y val="0.33757986426995429"/>
          <c:w val="0.8515517378509504"/>
          <c:h val="0.37704300906609783"/>
        </c:manualLayout>
      </c:layout>
      <c:barChart>
        <c:barDir val="col"/>
        <c:grouping val="clustered"/>
        <c:varyColors val="0"/>
        <c:ser>
          <c:idx val="0"/>
          <c:order val="0"/>
          <c:tx>
            <c:strRef>
              <c:f>'pivot table and chart'!$B$60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chart'!$A$61:$A$64</c:f>
              <c:strCache>
                <c:ptCount val="3"/>
                <c:pt idx="0">
                  <c:v>0</c:v>
                </c:pt>
                <c:pt idx="1">
                  <c:v>1</c:v>
                </c:pt>
                <c:pt idx="2">
                  <c:v>2</c:v>
                </c:pt>
              </c:strCache>
            </c:strRef>
          </c:cat>
          <c:val>
            <c:numRef>
              <c:f>'pivot table and chart'!$B$61:$B$64</c:f>
              <c:numCache>
                <c:formatCode>General</c:formatCode>
                <c:ptCount val="3"/>
                <c:pt idx="0">
                  <c:v>3946</c:v>
                </c:pt>
                <c:pt idx="1">
                  <c:v>2053</c:v>
                </c:pt>
                <c:pt idx="2">
                  <c:v>1941</c:v>
                </c:pt>
              </c:numCache>
            </c:numRef>
          </c:val>
          <c:extLst>
            <c:ext xmlns:c16="http://schemas.microsoft.com/office/drawing/2014/chart" uri="{C3380CC4-5D6E-409C-BE32-E72D297353CC}">
              <c16:uniqueId val="{00000002-060D-44F3-985C-D05A21FC1FBC}"/>
            </c:ext>
          </c:extLst>
        </c:ser>
        <c:dLbls>
          <c:dLblPos val="outEnd"/>
          <c:showLegendKey val="0"/>
          <c:showVal val="1"/>
          <c:showCatName val="0"/>
          <c:showSerName val="0"/>
          <c:showPercent val="0"/>
          <c:showBubbleSize val="0"/>
        </c:dLbls>
        <c:gapWidth val="100"/>
        <c:overlap val="-24"/>
        <c:axId val="1801554207"/>
        <c:axId val="1801551327"/>
      </c:barChart>
      <c:catAx>
        <c:axId val="18015542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1551327"/>
        <c:crosses val="autoZero"/>
        <c:auto val="1"/>
        <c:lblAlgn val="ctr"/>
        <c:lblOffset val="100"/>
        <c:noMultiLvlLbl val="0"/>
      </c:catAx>
      <c:valAx>
        <c:axId val="1801551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1554207"/>
        <c:crosses val="autoZero"/>
        <c:crossBetween val="between"/>
      </c:valAx>
      <c:spPr>
        <a:noFill/>
        <a:ln>
          <a:noFill/>
        </a:ln>
        <a:effectLst/>
      </c:spPr>
    </c:plotArea>
    <c:plotVisOnly val="1"/>
    <c:dispBlanksAs val="gap"/>
    <c:showDLblsOverMax val="0"/>
    <c:extLst/>
  </c:chart>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5.xml"/><Relationship Id="rId5" Type="http://schemas.openxmlformats.org/officeDocument/2006/relationships/hyperlink" Target="#'Dashboard (2)'!A1"/><Relationship Id="rId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hyperlink" Target="#Dashboard!A1"/><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518160</xdr:colOff>
      <xdr:row>3</xdr:row>
      <xdr:rowOff>57150</xdr:rowOff>
    </xdr:from>
    <xdr:to>
      <xdr:col>9</xdr:col>
      <xdr:colOff>601980</xdr:colOff>
      <xdr:row>18</xdr:row>
      <xdr:rowOff>57150</xdr:rowOff>
    </xdr:to>
    <xdr:graphicFrame macro="">
      <xdr:nvGraphicFramePr>
        <xdr:cNvPr id="4" name="Chart 3">
          <a:extLst>
            <a:ext uri="{FF2B5EF4-FFF2-40B4-BE49-F238E27FC236}">
              <a16:creationId xmlns:a16="http://schemas.microsoft.com/office/drawing/2014/main" id="{4883BDAA-2D86-B6FB-6AB7-41EFF300F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xdr:colOff>
      <xdr:row>3</xdr:row>
      <xdr:rowOff>57150</xdr:rowOff>
    </xdr:from>
    <xdr:to>
      <xdr:col>17</xdr:col>
      <xdr:colOff>350520</xdr:colOff>
      <xdr:row>18</xdr:row>
      <xdr:rowOff>57150</xdr:rowOff>
    </xdr:to>
    <xdr:graphicFrame macro="">
      <xdr:nvGraphicFramePr>
        <xdr:cNvPr id="5" name="Chart 4">
          <a:extLst>
            <a:ext uri="{FF2B5EF4-FFF2-40B4-BE49-F238E27FC236}">
              <a16:creationId xmlns:a16="http://schemas.microsoft.com/office/drawing/2014/main" id="{39277685-9CED-8226-9DB2-2E566D46B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586740</xdr:colOff>
      <xdr:row>19</xdr:row>
      <xdr:rowOff>26670</xdr:rowOff>
    </xdr:from>
    <xdr:to>
      <xdr:col>10</xdr:col>
      <xdr:colOff>60960</xdr:colOff>
      <xdr:row>34</xdr:row>
      <xdr:rowOff>26670</xdr:rowOff>
    </xdr:to>
    <xdr:graphicFrame macro="">
      <xdr:nvGraphicFramePr>
        <xdr:cNvPr id="6" name="Chart 5">
          <a:extLst>
            <a:ext uri="{FF2B5EF4-FFF2-40B4-BE49-F238E27FC236}">
              <a16:creationId xmlns:a16="http://schemas.microsoft.com/office/drawing/2014/main" id="{627225E7-0FF1-E018-814B-F427073A1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243840</xdr:colOff>
      <xdr:row>19</xdr:row>
      <xdr:rowOff>11430</xdr:rowOff>
    </xdr:from>
    <xdr:to>
      <xdr:col>17</xdr:col>
      <xdr:colOff>548640</xdr:colOff>
      <xdr:row>34</xdr:row>
      <xdr:rowOff>11430</xdr:rowOff>
    </xdr:to>
    <xdr:graphicFrame macro="">
      <xdr:nvGraphicFramePr>
        <xdr:cNvPr id="7" name="Chart 6">
          <a:extLst>
            <a:ext uri="{FF2B5EF4-FFF2-40B4-BE49-F238E27FC236}">
              <a16:creationId xmlns:a16="http://schemas.microsoft.com/office/drawing/2014/main" id="{9DEB17AD-0B3C-F216-3AA5-55653A4FA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601980</xdr:colOff>
      <xdr:row>34</xdr:row>
      <xdr:rowOff>118110</xdr:rowOff>
    </xdr:from>
    <xdr:to>
      <xdr:col>10</xdr:col>
      <xdr:colOff>76200</xdr:colOff>
      <xdr:row>49</xdr:row>
      <xdr:rowOff>118110</xdr:rowOff>
    </xdr:to>
    <xdr:graphicFrame macro="">
      <xdr:nvGraphicFramePr>
        <xdr:cNvPr id="8" name="Chart 7">
          <a:extLst>
            <a:ext uri="{FF2B5EF4-FFF2-40B4-BE49-F238E27FC236}">
              <a16:creationId xmlns:a16="http://schemas.microsoft.com/office/drawing/2014/main" id="{560ECCC5-A744-1E43-6393-8907FD2A6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289560</xdr:colOff>
      <xdr:row>34</xdr:row>
      <xdr:rowOff>80010</xdr:rowOff>
    </xdr:from>
    <xdr:to>
      <xdr:col>17</xdr:col>
      <xdr:colOff>594360</xdr:colOff>
      <xdr:row>49</xdr:row>
      <xdr:rowOff>80010</xdr:rowOff>
    </xdr:to>
    <xdr:graphicFrame macro="">
      <xdr:nvGraphicFramePr>
        <xdr:cNvPr id="9" name="Chart 8">
          <a:extLst>
            <a:ext uri="{FF2B5EF4-FFF2-40B4-BE49-F238E27FC236}">
              <a16:creationId xmlns:a16="http://schemas.microsoft.com/office/drawing/2014/main" id="{D4E50387-A993-8A29-8F68-0358F74EF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518160</xdr:colOff>
      <xdr:row>50</xdr:row>
      <xdr:rowOff>64770</xdr:rowOff>
    </xdr:from>
    <xdr:to>
      <xdr:col>9</xdr:col>
      <xdr:colOff>601980</xdr:colOff>
      <xdr:row>65</xdr:row>
      <xdr:rowOff>64770</xdr:rowOff>
    </xdr:to>
    <xdr:graphicFrame macro="">
      <xdr:nvGraphicFramePr>
        <xdr:cNvPr id="11" name="Chart 10">
          <a:extLst>
            <a:ext uri="{FF2B5EF4-FFF2-40B4-BE49-F238E27FC236}">
              <a16:creationId xmlns:a16="http://schemas.microsoft.com/office/drawing/2014/main" id="{747306EF-9967-6BFF-0AE9-1831EE36C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129540</xdr:colOff>
      <xdr:row>50</xdr:row>
      <xdr:rowOff>41910</xdr:rowOff>
    </xdr:from>
    <xdr:to>
      <xdr:col>17</xdr:col>
      <xdr:colOff>434340</xdr:colOff>
      <xdr:row>65</xdr:row>
      <xdr:rowOff>41910</xdr:rowOff>
    </xdr:to>
    <xdr:graphicFrame macro="">
      <xdr:nvGraphicFramePr>
        <xdr:cNvPr id="12" name="Chart 11">
          <a:extLst>
            <a:ext uri="{FF2B5EF4-FFF2-40B4-BE49-F238E27FC236}">
              <a16:creationId xmlns:a16="http://schemas.microsoft.com/office/drawing/2014/main" id="{ED74A5C3-BD27-D4AF-FB06-E73D1144B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426720</xdr:colOff>
      <xdr:row>65</xdr:row>
      <xdr:rowOff>125730</xdr:rowOff>
    </xdr:from>
    <xdr:to>
      <xdr:col>9</xdr:col>
      <xdr:colOff>510540</xdr:colOff>
      <xdr:row>80</xdr:row>
      <xdr:rowOff>125730</xdr:rowOff>
    </xdr:to>
    <xdr:graphicFrame macro="">
      <xdr:nvGraphicFramePr>
        <xdr:cNvPr id="13" name="Chart 12">
          <a:extLst>
            <a:ext uri="{FF2B5EF4-FFF2-40B4-BE49-F238E27FC236}">
              <a16:creationId xmlns:a16="http://schemas.microsoft.com/office/drawing/2014/main" id="{8A290FAD-FD34-CCA2-CDDE-46A558A99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1607820</xdr:colOff>
      <xdr:row>75</xdr:row>
      <xdr:rowOff>121920</xdr:rowOff>
    </xdr:from>
    <xdr:to>
      <xdr:col>3</xdr:col>
      <xdr:colOff>922020</xdr:colOff>
      <xdr:row>78</xdr:row>
      <xdr:rowOff>137160</xdr:rowOff>
    </xdr:to>
    <xdr:sp macro="" textlink="$B$75">
      <xdr:nvSpPr>
        <xdr:cNvPr id="16" name="Rectangle: Rounded Corners 15">
          <a:extLst>
            <a:ext uri="{FF2B5EF4-FFF2-40B4-BE49-F238E27FC236}">
              <a16:creationId xmlns:a16="http://schemas.microsoft.com/office/drawing/2014/main" id="{A3F47813-A942-314A-9768-ABB52223BB9E}"/>
            </a:ext>
          </a:extLst>
        </xdr:cNvPr>
        <xdr:cNvSpPr/>
      </xdr:nvSpPr>
      <xdr:spPr>
        <a:xfrm>
          <a:off x="2468880" y="13837920"/>
          <a:ext cx="1706880" cy="563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C810277-8108-4C2D-805A-C6CD77222ABF}" type="TxLink">
            <a:rPr lang="en-US" sz="1100" b="0" i="0" u="none" strike="noStrike">
              <a:ln>
                <a:solidFill>
                  <a:schemeClr val="tx1">
                    <a:lumMod val="95000"/>
                    <a:lumOff val="5000"/>
                  </a:schemeClr>
                </a:solidFill>
              </a:ln>
              <a:solidFill>
                <a:srgbClr val="000000"/>
              </a:solidFill>
              <a:latin typeface="Calibri"/>
              <a:cs typeface="Calibri"/>
            </a:rPr>
            <a:pPr algn="ctr"/>
            <a:t>Total Students
105</a:t>
          </a:fld>
          <a:endParaRPr lang="en-IN" sz="1100">
            <a:ln>
              <a:solidFill>
                <a:schemeClr val="tx1">
                  <a:lumMod val="95000"/>
                  <a:lumOff val="5000"/>
                </a:schemeClr>
              </a:solidFill>
            </a:ln>
          </a:endParaRPr>
        </a:p>
      </xdr:txBody>
    </xdr:sp>
    <xdr:clientData/>
  </xdr:twoCellAnchor>
  <xdr:twoCellAnchor>
    <xdr:from>
      <xdr:col>2</xdr:col>
      <xdr:colOff>83820</xdr:colOff>
      <xdr:row>82</xdr:row>
      <xdr:rowOff>137160</xdr:rowOff>
    </xdr:from>
    <xdr:to>
      <xdr:col>3</xdr:col>
      <xdr:colOff>1051560</xdr:colOff>
      <xdr:row>85</xdr:row>
      <xdr:rowOff>152400</xdr:rowOff>
    </xdr:to>
    <xdr:sp macro="" textlink="$B$77">
      <xdr:nvSpPr>
        <xdr:cNvPr id="17" name="Rectangle: Rounded Corners 16">
          <a:extLst>
            <a:ext uri="{FF2B5EF4-FFF2-40B4-BE49-F238E27FC236}">
              <a16:creationId xmlns:a16="http://schemas.microsoft.com/office/drawing/2014/main" id="{FCDEE0FB-D2A1-451D-B2AB-BE491BBA3FA4}"/>
            </a:ext>
          </a:extLst>
        </xdr:cNvPr>
        <xdr:cNvSpPr/>
      </xdr:nvSpPr>
      <xdr:spPr>
        <a:xfrm>
          <a:off x="2598420" y="15133320"/>
          <a:ext cx="1706880" cy="563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393EEBE-B9D4-41BD-B4C6-96885C97D7F5}" type="TxLink">
            <a:rPr lang="en-US" sz="1100" b="0" i="0" u="none" strike="noStrike">
              <a:ln>
                <a:solidFill>
                  <a:schemeClr val="tx1">
                    <a:lumMod val="95000"/>
                    <a:lumOff val="5000"/>
                  </a:schemeClr>
                </a:solidFill>
              </a:ln>
              <a:solidFill>
                <a:srgbClr val="000000"/>
              </a:solidFill>
              <a:latin typeface="Calibri"/>
              <a:cs typeface="Calibri"/>
            </a:rPr>
            <a:pPr algn="ctr"/>
            <a:t>Average GPA
83.04</a:t>
          </a:fld>
          <a:endParaRPr lang="en-IN" sz="1100">
            <a:ln>
              <a:solidFill>
                <a:schemeClr val="tx1">
                  <a:lumMod val="95000"/>
                  <a:lumOff val="5000"/>
                </a:schemeClr>
              </a:solidFill>
            </a:ln>
          </a:endParaRPr>
        </a:p>
      </xdr:txBody>
    </xdr:sp>
    <xdr:clientData/>
  </xdr:twoCellAnchor>
  <xdr:twoCellAnchor>
    <xdr:from>
      <xdr:col>4</xdr:col>
      <xdr:colOff>121920</xdr:colOff>
      <xdr:row>83</xdr:row>
      <xdr:rowOff>30480</xdr:rowOff>
    </xdr:from>
    <xdr:to>
      <xdr:col>5</xdr:col>
      <xdr:colOff>480060</xdr:colOff>
      <xdr:row>86</xdr:row>
      <xdr:rowOff>45720</xdr:rowOff>
    </xdr:to>
    <xdr:sp macro="" textlink="$B$80">
      <xdr:nvSpPr>
        <xdr:cNvPr id="18" name="Rectangle: Rounded Corners 17">
          <a:extLst>
            <a:ext uri="{FF2B5EF4-FFF2-40B4-BE49-F238E27FC236}">
              <a16:creationId xmlns:a16="http://schemas.microsoft.com/office/drawing/2014/main" id="{13DE086B-BFA4-4EF1-B662-ED2A3D3E6DD5}"/>
            </a:ext>
          </a:extLst>
        </xdr:cNvPr>
        <xdr:cNvSpPr/>
      </xdr:nvSpPr>
      <xdr:spPr>
        <a:xfrm>
          <a:off x="4442460" y="15209520"/>
          <a:ext cx="1706880" cy="563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5B4E57-078B-4FEF-B12C-435C4C327CA7}" type="TxLink">
            <a:rPr lang="en-US" sz="1100" b="0" i="0" u="none" strike="noStrike">
              <a:ln>
                <a:solidFill>
                  <a:schemeClr val="tx1">
                    <a:lumMod val="95000"/>
                    <a:lumOff val="5000"/>
                  </a:schemeClr>
                </a:solidFill>
              </a:ln>
              <a:solidFill>
                <a:srgbClr val="000000"/>
              </a:solidFill>
              <a:latin typeface="Calibri"/>
              <a:cs typeface="Calibri"/>
            </a:rPr>
            <a:pPr algn="ctr"/>
            <a:t>Average Probability
84.21</a:t>
          </a:fld>
          <a:endParaRPr lang="en-IN" sz="1100">
            <a:ln>
              <a:solidFill>
                <a:schemeClr val="tx1">
                  <a:lumMod val="95000"/>
                  <a:lumOff val="5000"/>
                </a:schemeClr>
              </a:solidFill>
            </a:ln>
          </a:endParaRPr>
        </a:p>
      </xdr:txBody>
    </xdr:sp>
    <xdr:clientData/>
  </xdr:twoCellAnchor>
  <xdr:twoCellAnchor>
    <xdr:from>
      <xdr:col>2</xdr:col>
      <xdr:colOff>274320</xdr:colOff>
      <xdr:row>87</xdr:row>
      <xdr:rowOff>38100</xdr:rowOff>
    </xdr:from>
    <xdr:to>
      <xdr:col>4</xdr:col>
      <xdr:colOff>175260</xdr:colOff>
      <xdr:row>90</xdr:row>
      <xdr:rowOff>53340</xdr:rowOff>
    </xdr:to>
    <xdr:sp macro="" textlink="$B$83">
      <xdr:nvSpPr>
        <xdr:cNvPr id="19" name="Rectangle: Rounded Corners 18">
          <a:extLst>
            <a:ext uri="{FF2B5EF4-FFF2-40B4-BE49-F238E27FC236}">
              <a16:creationId xmlns:a16="http://schemas.microsoft.com/office/drawing/2014/main" id="{7B04593D-AC24-44C9-90DB-355C114F9B13}"/>
            </a:ext>
          </a:extLst>
        </xdr:cNvPr>
        <xdr:cNvSpPr/>
      </xdr:nvSpPr>
      <xdr:spPr>
        <a:xfrm>
          <a:off x="2788920" y="15948660"/>
          <a:ext cx="1706880" cy="563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5F3D26-AD32-4645-83F9-1FEA930AB081}" type="TxLink">
            <a:rPr lang="en-US" sz="1100" b="0" i="0" u="none" strike="noStrike">
              <a:ln>
                <a:solidFill>
                  <a:schemeClr val="tx1">
                    <a:lumMod val="95000"/>
                    <a:lumOff val="5000"/>
                  </a:schemeClr>
                </a:solidFill>
              </a:ln>
              <a:solidFill>
                <a:srgbClr val="000000"/>
              </a:solidFill>
              <a:latin typeface="Calibri"/>
              <a:cs typeface="Calibri"/>
            </a:rPr>
            <a:pPr algn="ctr"/>
            <a:t>Total Measure
8480</a:t>
          </a:fld>
          <a:endParaRPr lang="en-IN" sz="1100">
            <a:ln>
              <a:solidFill>
                <a:schemeClr val="tx1">
                  <a:lumMod val="95000"/>
                  <a:lumOff val="5000"/>
                </a:schemeClr>
              </a:solidFill>
            </a:ln>
          </a:endParaRPr>
        </a:p>
      </xdr:txBody>
    </xdr:sp>
    <xdr:clientData/>
  </xdr:twoCellAnchor>
  <xdr:twoCellAnchor>
    <xdr:from>
      <xdr:col>5</xdr:col>
      <xdr:colOff>388620</xdr:colOff>
      <xdr:row>81</xdr:row>
      <xdr:rowOff>121920</xdr:rowOff>
    </xdr:from>
    <xdr:to>
      <xdr:col>7</xdr:col>
      <xdr:colOff>175260</xdr:colOff>
      <xdr:row>84</xdr:row>
      <xdr:rowOff>137160</xdr:rowOff>
    </xdr:to>
    <xdr:sp macro="" textlink="$B$86">
      <xdr:nvSpPr>
        <xdr:cNvPr id="20" name="Rectangle: Rounded Corners 19">
          <a:extLst>
            <a:ext uri="{FF2B5EF4-FFF2-40B4-BE49-F238E27FC236}">
              <a16:creationId xmlns:a16="http://schemas.microsoft.com/office/drawing/2014/main" id="{8BE9993C-E0F7-4758-A058-65DE4038E41D}"/>
            </a:ext>
          </a:extLst>
        </xdr:cNvPr>
        <xdr:cNvSpPr/>
      </xdr:nvSpPr>
      <xdr:spPr>
        <a:xfrm>
          <a:off x="5128260" y="14935200"/>
          <a:ext cx="1706880" cy="563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94E868-DF3D-47C0-989F-03A471614E54}" type="TxLink">
            <a:rPr lang="en-US" sz="1100" b="0" i="0" u="none" strike="noStrike">
              <a:ln>
                <a:solidFill>
                  <a:schemeClr val="tx1">
                    <a:lumMod val="95000"/>
                    <a:lumOff val="5000"/>
                  </a:schemeClr>
                </a:solidFill>
              </a:ln>
              <a:solidFill>
                <a:srgbClr val="000000"/>
              </a:solidFill>
              <a:latin typeface="Calibri"/>
              <a:cs typeface="Calibri"/>
            </a:rPr>
            <a:pPr algn="ctr"/>
            <a:t>Average Statistics
85.32</a:t>
          </a:fld>
          <a:endParaRPr lang="en-IN" sz="1100">
            <a:ln>
              <a:solidFill>
                <a:schemeClr val="tx1">
                  <a:lumMod val="95000"/>
                  <a:lumOff val="5000"/>
                </a:schemeClr>
              </a:solidFill>
            </a:ln>
          </a:endParaRPr>
        </a:p>
      </xdr:txBody>
    </xdr:sp>
    <xdr:clientData/>
  </xdr:twoCellAnchor>
  <xdr:twoCellAnchor editAs="oneCell">
    <xdr:from>
      <xdr:col>17</xdr:col>
      <xdr:colOff>236220</xdr:colOff>
      <xdr:row>65</xdr:row>
      <xdr:rowOff>106680</xdr:rowOff>
    </xdr:from>
    <xdr:to>
      <xdr:col>20</xdr:col>
      <xdr:colOff>236220</xdr:colOff>
      <xdr:row>79</xdr:row>
      <xdr:rowOff>13335</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81759019-117B-E897-8F6B-1B394FD1526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992100" y="11993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548640</xdr:colOff>
      <xdr:row>65</xdr:row>
      <xdr:rowOff>121920</xdr:rowOff>
    </xdr:from>
    <xdr:to>
      <xdr:col>16</xdr:col>
      <xdr:colOff>548640</xdr:colOff>
      <xdr:row>79</xdr:row>
      <xdr:rowOff>28575</xdr:rowOff>
    </xdr:to>
    <mc:AlternateContent xmlns:mc="http://schemas.openxmlformats.org/markup-compatibility/2006" xmlns:a14="http://schemas.microsoft.com/office/drawing/2010/main">
      <mc:Choice Requires="a14">
        <xdr:graphicFrame macro="">
          <xdr:nvGraphicFramePr>
            <xdr:cNvPr id="22" name="class">
              <a:extLst>
                <a:ext uri="{FF2B5EF4-FFF2-40B4-BE49-F238E27FC236}">
                  <a16:creationId xmlns:a16="http://schemas.microsoft.com/office/drawing/2014/main" id="{8FDBAF29-D276-10AD-5A2A-B5FA1C60EBB9}"/>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10866120" y="12009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419100</xdr:colOff>
      <xdr:row>65</xdr:row>
      <xdr:rowOff>60960</xdr:rowOff>
    </xdr:from>
    <xdr:to>
      <xdr:col>13</xdr:col>
      <xdr:colOff>419100</xdr:colOff>
      <xdr:row>78</xdr:row>
      <xdr:rowOff>150495</xdr:rowOff>
    </xdr:to>
    <mc:AlternateContent xmlns:mc="http://schemas.openxmlformats.org/markup-compatibility/2006" xmlns:a14="http://schemas.microsoft.com/office/drawing/2010/main">
      <mc:Choice Requires="a14">
        <xdr:graphicFrame macro="">
          <xdr:nvGraphicFramePr>
            <xdr:cNvPr id="23" name="from3">
              <a:extLst>
                <a:ext uri="{FF2B5EF4-FFF2-40B4-BE49-F238E27FC236}">
                  <a16:creationId xmlns:a16="http://schemas.microsoft.com/office/drawing/2014/main" id="{4DE5D57C-68BA-D58E-5195-347DC9672C50}"/>
                </a:ext>
              </a:extLst>
            </xdr:cNvPr>
            <xdr:cNvGraphicFramePr/>
          </xdr:nvGraphicFramePr>
          <xdr:xfrm>
            <a:off x="0" y="0"/>
            <a:ext cx="0" cy="0"/>
          </xdr:xfrm>
          <a:graphic>
            <a:graphicData uri="http://schemas.microsoft.com/office/drawing/2010/slicer">
              <sle:slicer xmlns:sle="http://schemas.microsoft.com/office/drawing/2010/slicer" name="from3"/>
            </a:graphicData>
          </a:graphic>
        </xdr:graphicFrame>
      </mc:Choice>
      <mc:Fallback xmlns="">
        <xdr:sp macro="" textlink="">
          <xdr:nvSpPr>
            <xdr:cNvPr id="0" name=""/>
            <xdr:cNvSpPr>
              <a:spLocks noTextEdit="1"/>
            </xdr:cNvSpPr>
          </xdr:nvSpPr>
          <xdr:spPr>
            <a:xfrm>
              <a:off x="8907780" y="11948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1120140</xdr:colOff>
      <xdr:row>86</xdr:row>
      <xdr:rowOff>87630</xdr:rowOff>
    </xdr:from>
    <xdr:to>
      <xdr:col>10</xdr:col>
      <xdr:colOff>594360</xdr:colOff>
      <xdr:row>101</xdr:row>
      <xdr:rowOff>87630</xdr:rowOff>
    </xdr:to>
    <xdr:graphicFrame macro="">
      <xdr:nvGraphicFramePr>
        <xdr:cNvPr id="2" name="Chart 1">
          <a:extLst>
            <a:ext uri="{FF2B5EF4-FFF2-40B4-BE49-F238E27FC236}">
              <a16:creationId xmlns:a16="http://schemas.microsoft.com/office/drawing/2014/main" id="{C66DB8C9-8745-6324-F1C2-9BD39E32CC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2</xdr:row>
      <xdr:rowOff>38100</xdr:rowOff>
    </xdr:from>
    <xdr:to>
      <xdr:col>2</xdr:col>
      <xdr:colOff>495300</xdr:colOff>
      <xdr:row>5</xdr:row>
      <xdr:rowOff>114300</xdr:rowOff>
    </xdr:to>
    <xdr:sp macro="" textlink="'pivot table and chart'!$B$75">
      <xdr:nvSpPr>
        <xdr:cNvPr id="2" name="Rectangle: Rounded Corners 1">
          <a:extLst>
            <a:ext uri="{FF2B5EF4-FFF2-40B4-BE49-F238E27FC236}">
              <a16:creationId xmlns:a16="http://schemas.microsoft.com/office/drawing/2014/main" id="{E424BC29-5A2A-4F01-A45D-7000585EE5EF}"/>
            </a:ext>
          </a:extLst>
        </xdr:cNvPr>
        <xdr:cNvSpPr/>
      </xdr:nvSpPr>
      <xdr:spPr>
        <a:xfrm>
          <a:off x="45720" y="403860"/>
          <a:ext cx="1668780" cy="624840"/>
        </a:xfrm>
        <a:prstGeom prst="roundRect">
          <a:avLst/>
        </a:prstGeom>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65A9384C-F26D-4A7D-BD46-5C01769957D4}" type="TxLink">
            <a:rPr lang="en-US" sz="12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lgn="ctr"/>
            <a:t>Total Students
105</a:t>
          </a:fld>
          <a:endParaRPr lang="en-IN" sz="12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579120</xdr:colOff>
      <xdr:row>2</xdr:row>
      <xdr:rowOff>45720</xdr:rowOff>
    </xdr:from>
    <xdr:to>
      <xdr:col>5</xdr:col>
      <xdr:colOff>419100</xdr:colOff>
      <xdr:row>5</xdr:row>
      <xdr:rowOff>121920</xdr:rowOff>
    </xdr:to>
    <xdr:sp macro="" textlink="'pivot table and chart'!$B$77">
      <xdr:nvSpPr>
        <xdr:cNvPr id="8" name="Rectangle: Rounded Corners 7">
          <a:extLst>
            <a:ext uri="{FF2B5EF4-FFF2-40B4-BE49-F238E27FC236}">
              <a16:creationId xmlns:a16="http://schemas.microsoft.com/office/drawing/2014/main" id="{5F5750AC-FA7C-4F69-B9DC-122B54CD951A}"/>
            </a:ext>
          </a:extLst>
        </xdr:cNvPr>
        <xdr:cNvSpPr/>
      </xdr:nvSpPr>
      <xdr:spPr>
        <a:xfrm>
          <a:off x="1798320" y="411480"/>
          <a:ext cx="1668780" cy="624840"/>
        </a:xfrm>
        <a:prstGeom prst="roundRect">
          <a:avLst/>
        </a:prstGeom>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FC4C5198-5D1B-4AD9-B40F-56C084B36D05}"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Average GPA
83.04</a:t>
          </a:fld>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487680</xdr:colOff>
      <xdr:row>2</xdr:row>
      <xdr:rowOff>53340</xdr:rowOff>
    </xdr:from>
    <xdr:to>
      <xdr:col>8</xdr:col>
      <xdr:colOff>327660</xdr:colOff>
      <xdr:row>5</xdr:row>
      <xdr:rowOff>129540</xdr:rowOff>
    </xdr:to>
    <xdr:sp macro="" textlink="'pivot table and chart'!$B$80">
      <xdr:nvSpPr>
        <xdr:cNvPr id="9" name="Rectangle: Rounded Corners 8">
          <a:extLst>
            <a:ext uri="{FF2B5EF4-FFF2-40B4-BE49-F238E27FC236}">
              <a16:creationId xmlns:a16="http://schemas.microsoft.com/office/drawing/2014/main" id="{A8078982-453A-4134-8427-BD9C9AEF27A2}"/>
            </a:ext>
          </a:extLst>
        </xdr:cNvPr>
        <xdr:cNvSpPr/>
      </xdr:nvSpPr>
      <xdr:spPr>
        <a:xfrm>
          <a:off x="3535680" y="419100"/>
          <a:ext cx="1668780" cy="624840"/>
        </a:xfrm>
        <a:prstGeom prst="roundRect">
          <a:avLst/>
        </a:prstGeom>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9214E7D6-CC14-411A-A4BA-7C0CB10627CA}"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Average Probability
84.21</a:t>
          </a:fld>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304800</xdr:colOff>
      <xdr:row>2</xdr:row>
      <xdr:rowOff>53340</xdr:rowOff>
    </xdr:from>
    <xdr:to>
      <xdr:col>14</xdr:col>
      <xdr:colOff>144780</xdr:colOff>
      <xdr:row>5</xdr:row>
      <xdr:rowOff>129540</xdr:rowOff>
    </xdr:to>
    <xdr:sp macro="" textlink="'pivot table and chart'!$B$86">
      <xdr:nvSpPr>
        <xdr:cNvPr id="10" name="Rectangle: Rounded Corners 9">
          <a:extLst>
            <a:ext uri="{FF2B5EF4-FFF2-40B4-BE49-F238E27FC236}">
              <a16:creationId xmlns:a16="http://schemas.microsoft.com/office/drawing/2014/main" id="{537A5785-3934-421F-94BC-F3A0EF6767F7}"/>
            </a:ext>
          </a:extLst>
        </xdr:cNvPr>
        <xdr:cNvSpPr/>
      </xdr:nvSpPr>
      <xdr:spPr>
        <a:xfrm>
          <a:off x="7010400" y="419100"/>
          <a:ext cx="1668780" cy="624840"/>
        </a:xfrm>
        <a:prstGeom prst="roundRect">
          <a:avLst/>
        </a:prstGeom>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67134258-5792-418C-9ED2-85FF4D55D94E}"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Average Statistics
85.32</a:t>
          </a:fld>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388620</xdr:colOff>
      <xdr:row>2</xdr:row>
      <xdr:rowOff>53340</xdr:rowOff>
    </xdr:from>
    <xdr:to>
      <xdr:col>11</xdr:col>
      <xdr:colOff>228600</xdr:colOff>
      <xdr:row>5</xdr:row>
      <xdr:rowOff>129540</xdr:rowOff>
    </xdr:to>
    <xdr:sp macro="" textlink="'pivot table and chart'!$B$83">
      <xdr:nvSpPr>
        <xdr:cNvPr id="11" name="Rectangle: Rounded Corners 10">
          <a:extLst>
            <a:ext uri="{FF2B5EF4-FFF2-40B4-BE49-F238E27FC236}">
              <a16:creationId xmlns:a16="http://schemas.microsoft.com/office/drawing/2014/main" id="{80AE9F7C-DC70-4692-99E9-02327AE5760C}"/>
            </a:ext>
          </a:extLst>
        </xdr:cNvPr>
        <xdr:cNvSpPr/>
      </xdr:nvSpPr>
      <xdr:spPr>
        <a:xfrm>
          <a:off x="5265420" y="419100"/>
          <a:ext cx="1668780" cy="624840"/>
        </a:xfrm>
        <a:prstGeom prst="roundRect">
          <a:avLst/>
        </a:prstGeom>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B2A13C8F-D5D2-445A-B85E-BEE940FD1A51}"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Total Measure
8480</a:t>
          </a:fld>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14</xdr:col>
      <xdr:colOff>304800</xdr:colOff>
      <xdr:row>18</xdr:row>
      <xdr:rowOff>60960</xdr:rowOff>
    </xdr:from>
    <xdr:to>
      <xdr:col>17</xdr:col>
      <xdr:colOff>541020</xdr:colOff>
      <xdr:row>24</xdr:row>
      <xdr:rowOff>38099</xdr:rowOff>
    </xdr:to>
    <mc:AlternateContent xmlns:mc="http://schemas.openxmlformats.org/markup-compatibility/2006" xmlns:a14="http://schemas.microsoft.com/office/drawing/2010/main">
      <mc:Choice Requires="a14">
        <xdr:graphicFrame macro="">
          <xdr:nvGraphicFramePr>
            <xdr:cNvPr id="12" name="gender 1">
              <a:extLst>
                <a:ext uri="{FF2B5EF4-FFF2-40B4-BE49-F238E27FC236}">
                  <a16:creationId xmlns:a16="http://schemas.microsoft.com/office/drawing/2014/main" id="{5F8530D2-E373-4973-8746-1D3E9D40CD4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031980" y="3352800"/>
              <a:ext cx="2065020" cy="107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289560</xdr:colOff>
      <xdr:row>12</xdr:row>
      <xdr:rowOff>22861</xdr:rowOff>
    </xdr:from>
    <xdr:to>
      <xdr:col>17</xdr:col>
      <xdr:colOff>548640</xdr:colOff>
      <xdr:row>18</xdr:row>
      <xdr:rowOff>7621</xdr:rowOff>
    </xdr:to>
    <mc:AlternateContent xmlns:mc="http://schemas.openxmlformats.org/markup-compatibility/2006" xmlns:a14="http://schemas.microsoft.com/office/drawing/2010/main">
      <mc:Choice Requires="a14">
        <xdr:graphicFrame macro="">
          <xdr:nvGraphicFramePr>
            <xdr:cNvPr id="13" name="class 1">
              <a:extLst>
                <a:ext uri="{FF2B5EF4-FFF2-40B4-BE49-F238E27FC236}">
                  <a16:creationId xmlns:a16="http://schemas.microsoft.com/office/drawing/2014/main" id="{98526EAE-BEFE-4002-83CB-18AE4B7420CF}"/>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mlns="">
        <xdr:sp macro="" textlink="">
          <xdr:nvSpPr>
            <xdr:cNvPr id="0" name=""/>
            <xdr:cNvSpPr>
              <a:spLocks noTextEdit="1"/>
            </xdr:cNvSpPr>
          </xdr:nvSpPr>
          <xdr:spPr>
            <a:xfrm>
              <a:off x="12016740" y="2217421"/>
              <a:ext cx="2087880" cy="108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281940</xdr:colOff>
      <xdr:row>2</xdr:row>
      <xdr:rowOff>45721</xdr:rowOff>
    </xdr:from>
    <xdr:to>
      <xdr:col>17</xdr:col>
      <xdr:colOff>548640</xdr:colOff>
      <xdr:row>11</xdr:row>
      <xdr:rowOff>114301</xdr:rowOff>
    </xdr:to>
    <mc:AlternateContent xmlns:mc="http://schemas.openxmlformats.org/markup-compatibility/2006" xmlns:a14="http://schemas.microsoft.com/office/drawing/2010/main">
      <mc:Choice Requires="a14">
        <xdr:graphicFrame macro="">
          <xdr:nvGraphicFramePr>
            <xdr:cNvPr id="14" name="from3 1">
              <a:extLst>
                <a:ext uri="{FF2B5EF4-FFF2-40B4-BE49-F238E27FC236}">
                  <a16:creationId xmlns:a16="http://schemas.microsoft.com/office/drawing/2014/main" id="{C3FFA6C5-59F6-41B2-A62F-C5999EEB38F5}"/>
                </a:ext>
              </a:extLst>
            </xdr:cNvPr>
            <xdr:cNvGraphicFramePr/>
          </xdr:nvGraphicFramePr>
          <xdr:xfrm>
            <a:off x="0" y="0"/>
            <a:ext cx="0" cy="0"/>
          </xdr:xfrm>
          <a:graphic>
            <a:graphicData uri="http://schemas.microsoft.com/office/drawing/2010/slicer">
              <sle:slicer xmlns:sle="http://schemas.microsoft.com/office/drawing/2010/slicer" name="from3 1"/>
            </a:graphicData>
          </a:graphic>
        </xdr:graphicFrame>
      </mc:Choice>
      <mc:Fallback xmlns="">
        <xdr:sp macro="" textlink="">
          <xdr:nvSpPr>
            <xdr:cNvPr id="0" name=""/>
            <xdr:cNvSpPr>
              <a:spLocks noTextEdit="1"/>
            </xdr:cNvSpPr>
          </xdr:nvSpPr>
          <xdr:spPr>
            <a:xfrm>
              <a:off x="12009120" y="411481"/>
              <a:ext cx="20955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16</xdr:row>
      <xdr:rowOff>144780</xdr:rowOff>
    </xdr:from>
    <xdr:to>
      <xdr:col>7</xdr:col>
      <xdr:colOff>739140</xdr:colOff>
      <xdr:row>27</xdr:row>
      <xdr:rowOff>175260</xdr:rowOff>
    </xdr:to>
    <xdr:graphicFrame macro="">
      <xdr:nvGraphicFramePr>
        <xdr:cNvPr id="15" name="Chart 14">
          <a:extLst>
            <a:ext uri="{FF2B5EF4-FFF2-40B4-BE49-F238E27FC236}">
              <a16:creationId xmlns:a16="http://schemas.microsoft.com/office/drawing/2014/main" id="{F75960E2-5972-4FF5-9700-914F01B2D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16</xdr:row>
      <xdr:rowOff>121920</xdr:rowOff>
    </xdr:from>
    <xdr:to>
      <xdr:col>3</xdr:col>
      <xdr:colOff>701040</xdr:colOff>
      <xdr:row>27</xdr:row>
      <xdr:rowOff>152400</xdr:rowOff>
    </xdr:to>
    <xdr:graphicFrame macro="">
      <xdr:nvGraphicFramePr>
        <xdr:cNvPr id="16" name="Chart 15">
          <a:extLst>
            <a:ext uri="{FF2B5EF4-FFF2-40B4-BE49-F238E27FC236}">
              <a16:creationId xmlns:a16="http://schemas.microsoft.com/office/drawing/2014/main" id="{69B9E20E-00CF-41E2-9C6C-A3BB21916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716280</xdr:colOff>
      <xdr:row>5</xdr:row>
      <xdr:rowOff>152400</xdr:rowOff>
    </xdr:from>
    <xdr:to>
      <xdr:col>14</xdr:col>
      <xdr:colOff>220980</xdr:colOff>
      <xdr:row>16</xdr:row>
      <xdr:rowOff>106680</xdr:rowOff>
    </xdr:to>
    <xdr:graphicFrame macro="">
      <xdr:nvGraphicFramePr>
        <xdr:cNvPr id="17" name="Chart 16">
          <a:extLst>
            <a:ext uri="{FF2B5EF4-FFF2-40B4-BE49-F238E27FC236}">
              <a16:creationId xmlns:a16="http://schemas.microsoft.com/office/drawing/2014/main" id="{0217A8F0-C695-414C-B590-4B94B6E83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792480</xdr:colOff>
      <xdr:row>16</xdr:row>
      <xdr:rowOff>137160</xdr:rowOff>
    </xdr:from>
    <xdr:to>
      <xdr:col>14</xdr:col>
      <xdr:colOff>228600</xdr:colOff>
      <xdr:row>27</xdr:row>
      <xdr:rowOff>167640</xdr:rowOff>
    </xdr:to>
    <xdr:graphicFrame macro="">
      <xdr:nvGraphicFramePr>
        <xdr:cNvPr id="18" name="Chart 17">
          <a:extLst>
            <a:ext uri="{FF2B5EF4-FFF2-40B4-BE49-F238E27FC236}">
              <a16:creationId xmlns:a16="http://schemas.microsoft.com/office/drawing/2014/main" id="{7D6A318C-3CF8-42F7-BB7A-78EFAF6FC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342900</xdr:colOff>
      <xdr:row>24</xdr:row>
      <xdr:rowOff>106680</xdr:rowOff>
    </xdr:from>
    <xdr:to>
      <xdr:col>17</xdr:col>
      <xdr:colOff>541020</xdr:colOff>
      <xdr:row>27</xdr:row>
      <xdr:rowOff>121920</xdr:rowOff>
    </xdr:to>
    <xdr:sp macro="" textlink="">
      <xdr:nvSpPr>
        <xdr:cNvPr id="19" name="Rectangle 18">
          <a:hlinkClick xmlns:r="http://schemas.openxmlformats.org/officeDocument/2006/relationships" r:id="rId5"/>
          <a:extLst>
            <a:ext uri="{FF2B5EF4-FFF2-40B4-BE49-F238E27FC236}">
              <a16:creationId xmlns:a16="http://schemas.microsoft.com/office/drawing/2014/main" id="{577F94C7-7249-745B-7C1E-4E51DAB6BDA0}"/>
            </a:ext>
          </a:extLst>
        </xdr:cNvPr>
        <xdr:cNvSpPr/>
      </xdr:nvSpPr>
      <xdr:spPr>
        <a:xfrm>
          <a:off x="8877300" y="4495800"/>
          <a:ext cx="2026920" cy="563880"/>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a:t>PAGE</a:t>
          </a:r>
          <a:r>
            <a:rPr lang="en-IN" sz="1600" b="1" baseline="0"/>
            <a:t> 2</a:t>
          </a:r>
          <a:endParaRPr lang="en-IN" sz="1600" b="1"/>
        </a:p>
      </xdr:txBody>
    </xdr:sp>
    <xdr:clientData/>
  </xdr:twoCellAnchor>
  <xdr:twoCellAnchor>
    <xdr:from>
      <xdr:col>0</xdr:col>
      <xdr:colOff>0</xdr:colOff>
      <xdr:row>5</xdr:row>
      <xdr:rowOff>144780</xdr:rowOff>
    </xdr:from>
    <xdr:to>
      <xdr:col>5</xdr:col>
      <xdr:colOff>632460</xdr:colOff>
      <xdr:row>16</xdr:row>
      <xdr:rowOff>83820</xdr:rowOff>
    </xdr:to>
    <xdr:graphicFrame macro="">
      <xdr:nvGraphicFramePr>
        <xdr:cNvPr id="20" name="Chart 19">
          <a:extLst>
            <a:ext uri="{FF2B5EF4-FFF2-40B4-BE49-F238E27FC236}">
              <a16:creationId xmlns:a16="http://schemas.microsoft.com/office/drawing/2014/main" id="{391B0129-70C2-4531-B2A4-6A3051085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45720</xdr:colOff>
      <xdr:row>2</xdr:row>
      <xdr:rowOff>38100</xdr:rowOff>
    </xdr:from>
    <xdr:to>
      <xdr:col>2</xdr:col>
      <xdr:colOff>495300</xdr:colOff>
      <xdr:row>5</xdr:row>
      <xdr:rowOff>114300</xdr:rowOff>
    </xdr:to>
    <xdr:sp macro="" textlink="'pivot table and chart'!$B$75">
      <xdr:nvSpPr>
        <xdr:cNvPr id="2" name="Rectangle: Rounded Corners 1">
          <a:extLst>
            <a:ext uri="{FF2B5EF4-FFF2-40B4-BE49-F238E27FC236}">
              <a16:creationId xmlns:a16="http://schemas.microsoft.com/office/drawing/2014/main" id="{1D175FB3-4F48-43E6-AFFA-7AA73F1B3816}"/>
            </a:ext>
          </a:extLst>
        </xdr:cNvPr>
        <xdr:cNvSpPr/>
      </xdr:nvSpPr>
      <xdr:spPr>
        <a:xfrm>
          <a:off x="45720" y="403860"/>
          <a:ext cx="1668780" cy="624840"/>
        </a:xfrm>
        <a:prstGeom prst="roundRect">
          <a:avLst/>
        </a:prstGeom>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65A9384C-F26D-4A7D-BD46-5C01769957D4}" type="TxLink">
            <a:rPr lang="en-US" sz="12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lgn="ctr"/>
            <a:t>Total Students
105</a:t>
          </a:fld>
          <a:endParaRPr lang="en-IN" sz="12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579120</xdr:colOff>
      <xdr:row>2</xdr:row>
      <xdr:rowOff>45720</xdr:rowOff>
    </xdr:from>
    <xdr:to>
      <xdr:col>5</xdr:col>
      <xdr:colOff>419100</xdr:colOff>
      <xdr:row>5</xdr:row>
      <xdr:rowOff>121920</xdr:rowOff>
    </xdr:to>
    <xdr:sp macro="" textlink="'pivot table and chart'!$B$77">
      <xdr:nvSpPr>
        <xdr:cNvPr id="3" name="Rectangle: Rounded Corners 2">
          <a:extLst>
            <a:ext uri="{FF2B5EF4-FFF2-40B4-BE49-F238E27FC236}">
              <a16:creationId xmlns:a16="http://schemas.microsoft.com/office/drawing/2014/main" id="{DA3DCA24-15AA-46FD-B4B3-67BFC81DBB38}"/>
            </a:ext>
          </a:extLst>
        </xdr:cNvPr>
        <xdr:cNvSpPr/>
      </xdr:nvSpPr>
      <xdr:spPr>
        <a:xfrm>
          <a:off x="1798320" y="411480"/>
          <a:ext cx="1668780" cy="624840"/>
        </a:xfrm>
        <a:prstGeom prst="roundRect">
          <a:avLst/>
        </a:prstGeom>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FC4C5198-5D1B-4AD9-B40F-56C084B36D05}"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Average GPA
83.04</a:t>
          </a:fld>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487680</xdr:colOff>
      <xdr:row>2</xdr:row>
      <xdr:rowOff>53340</xdr:rowOff>
    </xdr:from>
    <xdr:to>
      <xdr:col>8</xdr:col>
      <xdr:colOff>327660</xdr:colOff>
      <xdr:row>5</xdr:row>
      <xdr:rowOff>129540</xdr:rowOff>
    </xdr:to>
    <xdr:sp macro="" textlink="'pivot table and chart'!$B$80">
      <xdr:nvSpPr>
        <xdr:cNvPr id="4" name="Rectangle: Rounded Corners 3">
          <a:extLst>
            <a:ext uri="{FF2B5EF4-FFF2-40B4-BE49-F238E27FC236}">
              <a16:creationId xmlns:a16="http://schemas.microsoft.com/office/drawing/2014/main" id="{976F9CAA-E0ED-449E-8BA3-A3F3C286EFEA}"/>
            </a:ext>
          </a:extLst>
        </xdr:cNvPr>
        <xdr:cNvSpPr/>
      </xdr:nvSpPr>
      <xdr:spPr>
        <a:xfrm>
          <a:off x="3535680" y="419100"/>
          <a:ext cx="1668780" cy="624840"/>
        </a:xfrm>
        <a:prstGeom prst="roundRect">
          <a:avLst/>
        </a:prstGeom>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9214E7D6-CC14-411A-A4BA-7C0CB10627CA}"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Average Probability
84.21</a:t>
          </a:fld>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304800</xdr:colOff>
      <xdr:row>2</xdr:row>
      <xdr:rowOff>53340</xdr:rowOff>
    </xdr:from>
    <xdr:to>
      <xdr:col>14</xdr:col>
      <xdr:colOff>144780</xdr:colOff>
      <xdr:row>5</xdr:row>
      <xdr:rowOff>129540</xdr:rowOff>
    </xdr:to>
    <xdr:sp macro="" textlink="'pivot table and chart'!$B$86">
      <xdr:nvSpPr>
        <xdr:cNvPr id="5" name="Rectangle: Rounded Corners 4">
          <a:extLst>
            <a:ext uri="{FF2B5EF4-FFF2-40B4-BE49-F238E27FC236}">
              <a16:creationId xmlns:a16="http://schemas.microsoft.com/office/drawing/2014/main" id="{2305ED68-D872-42CB-94BB-883FE618C043}"/>
            </a:ext>
          </a:extLst>
        </xdr:cNvPr>
        <xdr:cNvSpPr/>
      </xdr:nvSpPr>
      <xdr:spPr>
        <a:xfrm>
          <a:off x="7010400" y="419100"/>
          <a:ext cx="1668780" cy="624840"/>
        </a:xfrm>
        <a:prstGeom prst="roundRect">
          <a:avLst/>
        </a:prstGeom>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67134258-5792-418C-9ED2-85FF4D55D94E}"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Average Statistics
85.32</a:t>
          </a:fld>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388620</xdr:colOff>
      <xdr:row>2</xdr:row>
      <xdr:rowOff>53340</xdr:rowOff>
    </xdr:from>
    <xdr:to>
      <xdr:col>11</xdr:col>
      <xdr:colOff>228600</xdr:colOff>
      <xdr:row>5</xdr:row>
      <xdr:rowOff>129540</xdr:rowOff>
    </xdr:to>
    <xdr:sp macro="" textlink="'pivot table and chart'!$B$83">
      <xdr:nvSpPr>
        <xdr:cNvPr id="6" name="Rectangle: Rounded Corners 5">
          <a:extLst>
            <a:ext uri="{FF2B5EF4-FFF2-40B4-BE49-F238E27FC236}">
              <a16:creationId xmlns:a16="http://schemas.microsoft.com/office/drawing/2014/main" id="{9EBDB05B-2D13-406E-91D5-CEF71BF5C6F1}"/>
            </a:ext>
          </a:extLst>
        </xdr:cNvPr>
        <xdr:cNvSpPr/>
      </xdr:nvSpPr>
      <xdr:spPr>
        <a:xfrm>
          <a:off x="5265420" y="419100"/>
          <a:ext cx="1668780" cy="624840"/>
        </a:xfrm>
        <a:prstGeom prst="roundRect">
          <a:avLst/>
        </a:prstGeom>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B2A13C8F-D5D2-445A-B85E-BEE940FD1A51}"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Total Measure
8480</a:t>
          </a:fld>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15</xdr:col>
      <xdr:colOff>342900</xdr:colOff>
      <xdr:row>17</xdr:row>
      <xdr:rowOff>53340</xdr:rowOff>
    </xdr:from>
    <xdr:to>
      <xdr:col>17</xdr:col>
      <xdr:colOff>541020</xdr:colOff>
      <xdr:row>24</xdr:row>
      <xdr:rowOff>38099</xdr:rowOff>
    </xdr:to>
    <mc:AlternateContent xmlns:mc="http://schemas.openxmlformats.org/markup-compatibility/2006" xmlns:a14="http://schemas.microsoft.com/office/drawing/2010/main">
      <mc:Choice Requires="a14">
        <xdr:graphicFrame macro="">
          <xdr:nvGraphicFramePr>
            <xdr:cNvPr id="7" name="gender 2">
              <a:extLst>
                <a:ext uri="{FF2B5EF4-FFF2-40B4-BE49-F238E27FC236}">
                  <a16:creationId xmlns:a16="http://schemas.microsoft.com/office/drawing/2014/main" id="{17F99878-F46C-47B8-8FA4-37F8D759D01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2786360" y="3162300"/>
              <a:ext cx="141732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281940</xdr:colOff>
      <xdr:row>11</xdr:row>
      <xdr:rowOff>175261</xdr:rowOff>
    </xdr:from>
    <xdr:to>
      <xdr:col>17</xdr:col>
      <xdr:colOff>548640</xdr:colOff>
      <xdr:row>17</xdr:row>
      <xdr:rowOff>7620</xdr:rowOff>
    </xdr:to>
    <mc:AlternateContent xmlns:mc="http://schemas.openxmlformats.org/markup-compatibility/2006" xmlns:a14="http://schemas.microsoft.com/office/drawing/2010/main">
      <mc:Choice Requires="a14">
        <xdr:graphicFrame macro="">
          <xdr:nvGraphicFramePr>
            <xdr:cNvPr id="8" name="class 2">
              <a:extLst>
                <a:ext uri="{FF2B5EF4-FFF2-40B4-BE49-F238E27FC236}">
                  <a16:creationId xmlns:a16="http://schemas.microsoft.com/office/drawing/2014/main" id="{638F617C-A596-47A1-8427-33FB34D32748}"/>
                </a:ext>
              </a:extLst>
            </xdr:cNvPr>
            <xdr:cNvGraphicFramePr/>
          </xdr:nvGraphicFramePr>
          <xdr:xfrm>
            <a:off x="0" y="0"/>
            <a:ext cx="0" cy="0"/>
          </xdr:xfrm>
          <a:graphic>
            <a:graphicData uri="http://schemas.microsoft.com/office/drawing/2010/slicer">
              <sle:slicer xmlns:sle="http://schemas.microsoft.com/office/drawing/2010/slicer" name="class 2"/>
            </a:graphicData>
          </a:graphic>
        </xdr:graphicFrame>
      </mc:Choice>
      <mc:Fallback xmlns="">
        <xdr:sp macro="" textlink="">
          <xdr:nvSpPr>
            <xdr:cNvPr id="0" name=""/>
            <xdr:cNvSpPr>
              <a:spLocks noTextEdit="1"/>
            </xdr:cNvSpPr>
          </xdr:nvSpPr>
          <xdr:spPr>
            <a:xfrm>
              <a:off x="12115800" y="2186941"/>
              <a:ext cx="2095500" cy="92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281940</xdr:colOff>
      <xdr:row>2</xdr:row>
      <xdr:rowOff>45721</xdr:rowOff>
    </xdr:from>
    <xdr:to>
      <xdr:col>17</xdr:col>
      <xdr:colOff>548640</xdr:colOff>
      <xdr:row>11</xdr:row>
      <xdr:rowOff>114301</xdr:rowOff>
    </xdr:to>
    <mc:AlternateContent xmlns:mc="http://schemas.openxmlformats.org/markup-compatibility/2006" xmlns:a14="http://schemas.microsoft.com/office/drawing/2010/main">
      <mc:Choice Requires="a14">
        <xdr:graphicFrame macro="">
          <xdr:nvGraphicFramePr>
            <xdr:cNvPr id="9" name="from3 2">
              <a:extLst>
                <a:ext uri="{FF2B5EF4-FFF2-40B4-BE49-F238E27FC236}">
                  <a16:creationId xmlns:a16="http://schemas.microsoft.com/office/drawing/2014/main" id="{C2A2E3AB-82E4-4F76-AA89-F3B45A4AAD9C}"/>
                </a:ext>
              </a:extLst>
            </xdr:cNvPr>
            <xdr:cNvGraphicFramePr/>
          </xdr:nvGraphicFramePr>
          <xdr:xfrm>
            <a:off x="0" y="0"/>
            <a:ext cx="0" cy="0"/>
          </xdr:xfrm>
          <a:graphic>
            <a:graphicData uri="http://schemas.microsoft.com/office/drawing/2010/slicer">
              <sle:slicer xmlns:sle="http://schemas.microsoft.com/office/drawing/2010/slicer" name="from3 2"/>
            </a:graphicData>
          </a:graphic>
        </xdr:graphicFrame>
      </mc:Choice>
      <mc:Fallback xmlns="">
        <xdr:sp macro="" textlink="">
          <xdr:nvSpPr>
            <xdr:cNvPr id="0" name=""/>
            <xdr:cNvSpPr>
              <a:spLocks noTextEdit="1"/>
            </xdr:cNvSpPr>
          </xdr:nvSpPr>
          <xdr:spPr>
            <a:xfrm>
              <a:off x="12115800" y="411481"/>
              <a:ext cx="20955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342900</xdr:colOff>
      <xdr:row>24</xdr:row>
      <xdr:rowOff>121920</xdr:rowOff>
    </xdr:from>
    <xdr:to>
      <xdr:col>17</xdr:col>
      <xdr:colOff>525780</xdr:colOff>
      <xdr:row>27</xdr:row>
      <xdr:rowOff>137160</xdr:rowOff>
    </xdr:to>
    <xdr:sp macro="" textlink="">
      <xdr:nvSpPr>
        <xdr:cNvPr id="15" name="Rectangle 14">
          <a:hlinkClick xmlns:r="http://schemas.openxmlformats.org/officeDocument/2006/relationships" r:id="rId1"/>
          <a:extLst>
            <a:ext uri="{FF2B5EF4-FFF2-40B4-BE49-F238E27FC236}">
              <a16:creationId xmlns:a16="http://schemas.microsoft.com/office/drawing/2014/main" id="{7E69C25A-E607-4575-AB54-DBC05E1F4448}"/>
            </a:ext>
          </a:extLst>
        </xdr:cNvPr>
        <xdr:cNvSpPr/>
      </xdr:nvSpPr>
      <xdr:spPr>
        <a:xfrm>
          <a:off x="9486900" y="4511040"/>
          <a:ext cx="1402080" cy="563880"/>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a:t>HOME PAGE</a:t>
          </a:r>
        </a:p>
      </xdr:txBody>
    </xdr:sp>
    <xdr:clientData/>
  </xdr:twoCellAnchor>
  <xdr:twoCellAnchor>
    <xdr:from>
      <xdr:col>0</xdr:col>
      <xdr:colOff>45720</xdr:colOff>
      <xdr:row>5</xdr:row>
      <xdr:rowOff>152400</xdr:rowOff>
    </xdr:from>
    <xdr:to>
      <xdr:col>7</xdr:col>
      <xdr:colOff>342900</xdr:colOff>
      <xdr:row>16</xdr:row>
      <xdr:rowOff>175260</xdr:rowOff>
    </xdr:to>
    <xdr:graphicFrame macro="">
      <xdr:nvGraphicFramePr>
        <xdr:cNvPr id="16" name="Chart 15">
          <a:extLst>
            <a:ext uri="{FF2B5EF4-FFF2-40B4-BE49-F238E27FC236}">
              <a16:creationId xmlns:a16="http://schemas.microsoft.com/office/drawing/2014/main" id="{C9790D00-EB96-4534-8A9B-666C8AC30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373380</xdr:colOff>
      <xdr:row>5</xdr:row>
      <xdr:rowOff>160020</xdr:rowOff>
    </xdr:from>
    <xdr:to>
      <xdr:col>14</xdr:col>
      <xdr:colOff>259080</xdr:colOff>
      <xdr:row>16</xdr:row>
      <xdr:rowOff>160020</xdr:rowOff>
    </xdr:to>
    <xdr:graphicFrame macro="">
      <xdr:nvGraphicFramePr>
        <xdr:cNvPr id="17" name="Chart 16">
          <a:extLst>
            <a:ext uri="{FF2B5EF4-FFF2-40B4-BE49-F238E27FC236}">
              <a16:creationId xmlns:a16="http://schemas.microsoft.com/office/drawing/2014/main" id="{26A9404E-23D8-44D8-8B2B-BD096D236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53340</xdr:colOff>
      <xdr:row>17</xdr:row>
      <xdr:rowOff>30480</xdr:rowOff>
    </xdr:from>
    <xdr:to>
      <xdr:col>5</xdr:col>
      <xdr:colOff>121920</xdr:colOff>
      <xdr:row>27</xdr:row>
      <xdr:rowOff>121920</xdr:rowOff>
    </xdr:to>
    <xdr:graphicFrame macro="">
      <xdr:nvGraphicFramePr>
        <xdr:cNvPr id="18" name="Chart 17">
          <a:extLst>
            <a:ext uri="{FF2B5EF4-FFF2-40B4-BE49-F238E27FC236}">
              <a16:creationId xmlns:a16="http://schemas.microsoft.com/office/drawing/2014/main" id="{3C869283-4AE5-4118-86CF-B4BA54E09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182880</xdr:colOff>
      <xdr:row>17</xdr:row>
      <xdr:rowOff>30480</xdr:rowOff>
    </xdr:from>
    <xdr:to>
      <xdr:col>9</xdr:col>
      <xdr:colOff>571500</xdr:colOff>
      <xdr:row>27</xdr:row>
      <xdr:rowOff>114300</xdr:rowOff>
    </xdr:to>
    <xdr:graphicFrame macro="">
      <xdr:nvGraphicFramePr>
        <xdr:cNvPr id="19" name="Chart 18">
          <a:extLst>
            <a:ext uri="{FF2B5EF4-FFF2-40B4-BE49-F238E27FC236}">
              <a16:creationId xmlns:a16="http://schemas.microsoft.com/office/drawing/2014/main" id="{6320C86E-641E-4D6C-BBCA-98281D5D7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17</xdr:row>
      <xdr:rowOff>45720</xdr:rowOff>
    </xdr:from>
    <xdr:to>
      <xdr:col>15</xdr:col>
      <xdr:colOff>304800</xdr:colOff>
      <xdr:row>27</xdr:row>
      <xdr:rowOff>144780</xdr:rowOff>
    </xdr:to>
    <xdr:graphicFrame macro="">
      <xdr:nvGraphicFramePr>
        <xdr:cNvPr id="20" name="Chart 19">
          <a:extLst>
            <a:ext uri="{FF2B5EF4-FFF2-40B4-BE49-F238E27FC236}">
              <a16:creationId xmlns:a16="http://schemas.microsoft.com/office/drawing/2014/main" id="{A1401F74-4326-404D-9990-E5E478C76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9932175928" backgroundQuery="1" createdVersion="8" refreshedVersion="8" minRefreshableVersion="3" recordCount="0" supportSubquery="1" supportAdvancedDrill="1" xr:uid="{D261B0A7-A1C9-4F93-91A7-CCD6C28959E7}">
  <cacheSource type="external" connectionId="2"/>
  <cacheFields count="2">
    <cacheField name="[dataSet__2].[class].[class]" caption="class" numFmtId="0" hierarchy="1" level="1">
      <sharedItems count="2">
        <s v="A"/>
        <s v="B"/>
      </sharedItems>
    </cacheField>
    <cacheField name="[Measures].[Average of GPA]" caption="Average of GPA" numFmtId="0" hierarchy="44" level="32767"/>
  </cacheFields>
  <cacheHierarchies count="52">
    <cacheHierarchy uniqueName="[dataSet__2].[ID]" caption="ID" attribute="1" defaultMemberUniqueName="[dataSet__2].[ID].[All]" allUniqueName="[dataSet__2].[ID].[All]" dimensionUniqueName="[dataSet__2]" displayFolder="" count="2" memberValueDatatype="20" unbalanced="0"/>
    <cacheHierarchy uniqueName="[dataSet__2].[class]" caption="class" attribute="1" defaultMemberUniqueName="[dataSet__2].[class].[All]" allUniqueName="[dataSet__2].[class].[All]" dimensionUniqueName="[dataSet__2]" displayFolder="" count="2" memberValueDatatype="130" unbalanced="0">
      <fieldsUsage count="2">
        <fieldUsage x="-1"/>
        <fieldUsage x="0"/>
      </fieldsUsage>
    </cacheHierarchy>
    <cacheHierarchy uniqueName="[dataSet__2].[gender]" caption="gender" attribute="1" defaultMemberUniqueName="[dataSet__2].[gender].[All]" allUniqueName="[dataSet__2].[gender].[All]" dimensionUniqueName="[dataSet__2]" displayFolder="" count="2" memberValueDatatype="130" unbalanced="0"/>
    <cacheHierarchy uniqueName="[dataSet__2].[race]" caption="race" attribute="1" defaultMemberUniqueName="[dataSet__2].[race].[All]" allUniqueName="[dataSet__2].[race].[All]" dimensionUniqueName="[dataSet__2]" displayFolder="" count="2" memberValueDatatype="20" unbalanced="0"/>
    <cacheHierarchy uniqueName="[dataSet__2].[GPA]" caption="GPA" attribute="1" defaultMemberUniqueName="[dataSet__2].[GPA].[All]" allUniqueName="[dataSet__2].[GPA].[All]" dimensionUniqueName="[dataSet__2]" displayFolder="" count="2" memberValueDatatype="5" unbalanced="0"/>
    <cacheHierarchy uniqueName="[dataSet__2].[Algebra]" caption="Algebra" attribute="1" defaultMemberUniqueName="[dataSet__2].[Algebra].[All]" allUniqueName="[dataSet__2].[Algebra].[All]" dimensionUniqueName="[dataSet__2]" displayFolder="" count="2" memberValueDatatype="20" unbalanced="0"/>
    <cacheHierarchy uniqueName="[dataSet__2].[Calculus1]" caption="Calculus1" attribute="1" defaultMemberUniqueName="[dataSet__2].[Calculus1].[All]" allUniqueName="[dataSet__2].[Calculus1].[All]" dimensionUniqueName="[dataSet__2]" displayFolder="" count="2" memberValueDatatype="20" unbalanced="0"/>
    <cacheHierarchy uniqueName="[dataSet__2].[Calculus2]" caption="Calculus2" attribute="1" defaultMemberUniqueName="[dataSet__2].[Calculus2].[All]" allUniqueName="[dataSet__2].[Calculus2].[All]" dimensionUniqueName="[dataSet__2]" displayFolder="" count="2" memberValueDatatype="20" unbalanced="0"/>
    <cacheHierarchy uniqueName="[dataSet__2].[Statistics]" caption="Statistics" attribute="1" defaultMemberUniqueName="[dataSet__2].[Statistics].[All]" allUniqueName="[dataSet__2].[Statistics].[All]" dimensionUniqueName="[dataSet__2]" displayFolder="" count="2" memberValueDatatype="20" unbalanced="0"/>
    <cacheHierarchy uniqueName="[dataSet__2].[Probability]" caption="Probability" attribute="1" defaultMemberUniqueName="[dataSet__2].[Probability].[All]" allUniqueName="[dataSet__2].[Probability].[All]" dimensionUniqueName="[dataSet__2]" displayFolder="" count="2" memberValueDatatype="5" unbalanced="0"/>
    <cacheHierarchy uniqueName="[dataSet__2].[Measure]" caption="Measure" attribute="1" defaultMemberUniqueName="[dataSet__2].[Measure].[All]" allUniqueName="[dataSet__2].[Measure].[All]" dimensionUniqueName="[dataSet__2]" displayFolder="" count="2" memberValueDatatype="20" unbalanced="0"/>
    <cacheHierarchy uniqueName="[dataSet__2].[Functional_analysis]" caption="Functional_analysis" attribute="1" defaultMemberUniqueName="[dataSet__2].[Functional_analysis].[All]" allUniqueName="[dataSet__2].[Functional_analysis].[All]" dimensionUniqueName="[dataSet__2]" displayFolder="" count="2" memberValueDatatype="20" unbalanced="0"/>
    <cacheHierarchy uniqueName="[dataSet__2].[from1]" caption="from1" attribute="1" defaultMemberUniqueName="[dataSet__2].[from1].[All]" allUniqueName="[dataSet__2].[from1].[All]" dimensionUniqueName="[dataSet__2]" displayFolder="" count="2" memberValueDatatype="130" unbalanced="0"/>
    <cacheHierarchy uniqueName="[dataSet__2].[from2]" caption="from2" attribute="1" defaultMemberUniqueName="[dataSet__2].[from2].[All]" allUniqueName="[dataSet__2].[from2].[All]" dimensionUniqueName="[dataSet__2]" displayFolder="" count="2" memberValueDatatype="130" unbalanced="0"/>
    <cacheHierarchy uniqueName="[dataSet__2].[from3]" caption="from3" attribute="1" defaultMemberUniqueName="[dataSet__2].[from3].[All]" allUniqueName="[dataSet__2].[from3].[All]" dimensionUniqueName="[dataSet__2]" displayFolder="" count="2" memberValueDatatype="130" unbalanced="0"/>
    <cacheHierarchy uniqueName="[dataSet__2].[y]" caption="y" attribute="1" defaultMemberUniqueName="[dataSet__2].[y].[All]" allUniqueName="[dataSet__2].[y].[All]" dimensionUniqueName="[dataSet__2]" displayFolder="" count="2" memberValueDatatype="20" unbalanced="0"/>
    <cacheHierarchy uniqueName="[Table1].[ID]" caption="ID" attribute="1" defaultMemberUniqueName="[Table1].[ID].[All]" allUniqueName="[Table1].[ID].[All]" dimensionUniqueName="[Table1]" displayFolder="" count="2" memberValueDatatype="20" unbalanced="0"/>
    <cacheHierarchy uniqueName="[Table1].[class]" caption="class" attribute="1" defaultMemberUniqueName="[Table1].[class].[All]" allUniqueName="[Table1].[class].[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race]" caption="race" attribute="1" defaultMemberUniqueName="[Table1].[race].[All]" allUniqueName="[Table1].[race].[All]" dimensionUniqueName="[Table1]" displayFolder="" count="2" memberValueDatatype="20" unbalanced="0"/>
    <cacheHierarchy uniqueName="[Table1].[GPA]" caption="GPA" attribute="1" defaultMemberUniqueName="[Table1].[GPA].[All]" allUniqueName="[Table1].[GPA].[All]" dimensionUniqueName="[Table1]" displayFolder="" count="2" memberValueDatatype="5" unbalanced="0"/>
    <cacheHierarchy uniqueName="[Table1].[Algebra]" caption="Algebra" attribute="1" defaultMemberUniqueName="[Table1].[Algebra].[All]" allUniqueName="[Table1].[Algebra].[All]" dimensionUniqueName="[Table1]" displayFolder="" count="2" memberValueDatatype="20" unbalanced="0"/>
    <cacheHierarchy uniqueName="[Table1].[Calculus1]" caption="Calculus1" attribute="1" defaultMemberUniqueName="[Table1].[Calculus1].[All]" allUniqueName="[Table1].[Calculus1].[All]" dimensionUniqueName="[Table1]" displayFolder="" count="2" memberValueDatatype="20" unbalanced="0"/>
    <cacheHierarchy uniqueName="[Table1].[Calculus2]" caption="Calculus2" attribute="1" defaultMemberUniqueName="[Table1].[Calculus2].[All]" allUniqueName="[Table1].[Calculus2].[All]" dimensionUniqueName="[Table1]" displayFolder="" count="2" memberValueDatatype="20" unbalanced="0"/>
    <cacheHierarchy uniqueName="[Table1].[Statistics]" caption="Statistics" attribute="1" defaultMemberUniqueName="[Table1].[Statistics].[All]" allUniqueName="[Table1].[Statistics].[All]" dimensionUniqueName="[Table1]" displayFolder="" count="2" memberValueDatatype="20" unbalanced="0"/>
    <cacheHierarchy uniqueName="[Table1].[Probability]" caption="Probability" attribute="1" defaultMemberUniqueName="[Table1].[Probability].[All]" allUniqueName="[Table1].[Probability].[All]" dimensionUniqueName="[Table1]" displayFolder="" count="2" memberValueDatatype="5" unbalanced="0"/>
    <cacheHierarchy uniqueName="[Table1].[Measure]" caption="Measure" attribute="1" defaultMemberUniqueName="[Table1].[Measure].[All]" allUniqueName="[Table1].[Measure].[All]" dimensionUniqueName="[Table1]" displayFolder="" count="2" memberValueDatatype="20" unbalanced="0"/>
    <cacheHierarchy uniqueName="[Table1].[Functional_analysis]" caption="Functional_analysis" attribute="1" defaultMemberUniqueName="[Table1].[Functional_analysis].[All]" allUniqueName="[Table1].[Functional_analysis].[All]" dimensionUniqueName="[Table1]" displayFolder="" count="2" memberValueDatatype="20" unbalanced="0"/>
    <cacheHierarchy uniqueName="[Table1].[from1]" caption="from1" attribute="1" defaultMemberUniqueName="[Table1].[from1].[All]" allUniqueName="[Table1].[from1].[All]" dimensionUniqueName="[Table1]" displayFolder="" count="2" memberValueDatatype="130" unbalanced="0"/>
    <cacheHierarchy uniqueName="[Table1].[from2]" caption="from2" attribute="1" defaultMemberUniqueName="[Table1].[from2].[All]" allUniqueName="[Table1].[from2].[All]" dimensionUniqueName="[Table1]" displayFolder="" count="2" memberValueDatatype="130" unbalanced="0"/>
    <cacheHierarchy uniqueName="[Table1].[from3]" caption="from3" attribute="1" defaultMemberUniqueName="[Table1].[from3].[All]" allUniqueName="[Table1].[from3].[All]" dimensionUniqueName="[Table1]" displayFolder="" count="2" memberValueDatatype="130" unbalanced="0"/>
    <cacheHierarchy uniqueName="[Table1].[from4]" caption="from4" attribute="1" defaultMemberUniqueName="[Table1].[from4].[All]" allUniqueName="[Table1].[from4].[All]" dimensionUniqueName="[Table1]" displayFolder="" count="2" memberValueDatatype="20" unbalanced="0"/>
    <cacheHierarchy uniqueName="[Table1].[y]" caption="y" attribute="1" defaultMemberUniqueName="[Table1].[y].[All]" allUniqueName="[Table1].[y].[All]" dimensionUniqueName="[Table1]" displayFolder="" count="2"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hidden="1">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hidden="1">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hidden="1">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hidden="1">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hidden="1">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hidden="1">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hidden="1">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dimensions count="3">
    <dimension name="dataSet__2" uniqueName="[dataSet__2]" caption="dataSet__2"/>
    <dimension measure="1" name="Measures" uniqueName="[Measures]" caption="Measures"/>
    <dimension name="Table1" uniqueName="[Table1]" caption="Table1"/>
  </dimensions>
  <measureGroups count="2">
    <measureGroup name="dataSet__2" caption="dataSet__2"/>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993263889" backgroundQuery="1" createdVersion="8" refreshedVersion="8" minRefreshableVersion="3" recordCount="0" supportSubquery="1" supportAdvancedDrill="1" xr:uid="{D7979624-5524-4A62-B84A-E3450E03421F}">
  <cacheSource type="external" connectionId="2"/>
  <cacheFields count="2">
    <cacheField name="[dataSet__2].[class].[class]" caption="class" numFmtId="0" hierarchy="1" level="1">
      <sharedItems count="2">
        <s v="A"/>
        <s v="B"/>
      </sharedItems>
    </cacheField>
    <cacheField name="[Measures].[Count of ID]" caption="Count of ID" numFmtId="0" hierarchy="37" level="32767"/>
  </cacheFields>
  <cacheHierarchies count="52">
    <cacheHierarchy uniqueName="[dataSet__2].[ID]" caption="ID" attribute="1" defaultMemberUniqueName="[dataSet__2].[ID].[All]" allUniqueName="[dataSet__2].[ID].[All]" dimensionUniqueName="[dataSet__2]" displayFolder="" count="0" memberValueDatatype="20" unbalanced="0"/>
    <cacheHierarchy uniqueName="[dataSet__2].[class]" caption="class" attribute="1" defaultMemberUniqueName="[dataSet__2].[class].[All]" allUniqueName="[dataSet__2].[class].[All]" dimensionUniqueName="[dataSet__2]" displayFolder="" count="2" memberValueDatatype="130" unbalanced="0">
      <fieldsUsage count="2">
        <fieldUsage x="-1"/>
        <fieldUsage x="0"/>
      </fieldsUsage>
    </cacheHierarchy>
    <cacheHierarchy uniqueName="[dataSet__2].[gender]" caption="gender" attribute="1" defaultMemberUniqueName="[dataSet__2].[gender].[All]" allUniqueName="[dataSet__2].[gender].[All]" dimensionUniqueName="[dataSet__2]" displayFolder="" count="2" memberValueDatatype="130" unbalanced="0"/>
    <cacheHierarchy uniqueName="[dataSet__2].[race]" caption="race" attribute="1" defaultMemberUniqueName="[dataSet__2].[race].[All]" allUniqueName="[dataSet__2].[race].[All]" dimensionUniqueName="[dataSet__2]" displayFolder="" count="0" memberValueDatatype="20" unbalanced="0"/>
    <cacheHierarchy uniqueName="[dataSet__2].[GPA]" caption="GPA" attribute="1" defaultMemberUniqueName="[dataSet__2].[GPA].[All]" allUniqueName="[dataSet__2].[GPA].[All]" dimensionUniqueName="[dataSet__2]" displayFolder="" count="0" memberValueDatatype="5" unbalanced="0"/>
    <cacheHierarchy uniqueName="[dataSet__2].[Algebra]" caption="Algebra" attribute="1" defaultMemberUniqueName="[dataSet__2].[Algebra].[All]" allUniqueName="[dataSet__2].[Algebra].[All]" dimensionUniqueName="[dataSet__2]" displayFolder="" count="0" memberValueDatatype="20" unbalanced="0"/>
    <cacheHierarchy uniqueName="[dataSet__2].[Calculus1]" caption="Calculus1" attribute="1" defaultMemberUniqueName="[dataSet__2].[Calculus1].[All]" allUniqueName="[dataSet__2].[Calculus1].[All]" dimensionUniqueName="[dataSet__2]" displayFolder="" count="0" memberValueDatatype="20" unbalanced="0"/>
    <cacheHierarchy uniqueName="[dataSet__2].[Calculus2]" caption="Calculus2" attribute="1" defaultMemberUniqueName="[dataSet__2].[Calculus2].[All]" allUniqueName="[dataSet__2].[Calculus2].[All]" dimensionUniqueName="[dataSet__2]" displayFolder="" count="0" memberValueDatatype="20" unbalanced="0"/>
    <cacheHierarchy uniqueName="[dataSet__2].[Statistics]" caption="Statistics" attribute="1" defaultMemberUniqueName="[dataSet__2].[Statistics].[All]" allUniqueName="[dataSet__2].[Statistics].[All]" dimensionUniqueName="[dataSet__2]" displayFolder="" count="0" memberValueDatatype="20" unbalanced="0"/>
    <cacheHierarchy uniqueName="[dataSet__2].[Probability]" caption="Probability" attribute="1" defaultMemberUniqueName="[dataSet__2].[Probability].[All]" allUniqueName="[dataSet__2].[Probability].[All]" dimensionUniqueName="[dataSet__2]" displayFolder="" count="0" memberValueDatatype="5" unbalanced="0"/>
    <cacheHierarchy uniqueName="[dataSet__2].[Measure]" caption="Measure" attribute="1" defaultMemberUniqueName="[dataSet__2].[Measure].[All]" allUniqueName="[dataSet__2].[Measure].[All]" dimensionUniqueName="[dataSet__2]" displayFolder="" count="0" memberValueDatatype="20" unbalanced="0"/>
    <cacheHierarchy uniqueName="[dataSet__2].[Functional_analysis]" caption="Functional_analysis" attribute="1" defaultMemberUniqueName="[dataSet__2].[Functional_analysis].[All]" allUniqueName="[dataSet__2].[Functional_analysis].[All]" dimensionUniqueName="[dataSet__2]" displayFolder="" count="0" memberValueDatatype="20" unbalanced="0"/>
    <cacheHierarchy uniqueName="[dataSet__2].[from1]" caption="from1" attribute="1" defaultMemberUniqueName="[dataSet__2].[from1].[All]" allUniqueName="[dataSet__2].[from1].[All]" dimensionUniqueName="[dataSet__2]" displayFolder="" count="0" memberValueDatatype="130" unbalanced="0"/>
    <cacheHierarchy uniqueName="[dataSet__2].[from2]" caption="from2" attribute="1" defaultMemberUniqueName="[dataSet__2].[from2].[All]" allUniqueName="[dataSet__2].[from2].[All]" dimensionUniqueName="[dataSet__2]" displayFolder="" count="0" memberValueDatatype="130" unbalanced="0"/>
    <cacheHierarchy uniqueName="[dataSet__2].[from3]" caption="from3" attribute="1" defaultMemberUniqueName="[dataSet__2].[from3].[All]" allUniqueName="[dataSet__2].[from3].[All]" dimensionUniqueName="[dataSet__2]" displayFolder="" count="2" memberValueDatatype="130" unbalanced="0"/>
    <cacheHierarchy uniqueName="[dataSet__2].[y]" caption="y" attribute="1" defaultMemberUniqueName="[dataSet__2].[y].[All]" allUniqueName="[dataSet__2].[y].[All]" dimensionUniqueName="[dataSet__2]"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class]" caption="class" attribute="1" defaultMemberUniqueName="[Table1].[class].[All]" allUniqueName="[Table1].[clas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race]" caption="race" attribute="1" defaultMemberUniqueName="[Table1].[race].[All]" allUniqueName="[Table1].[race].[All]" dimensionUniqueName="[Table1]" displayFolder="" count="0" memberValueDatatype="20" unbalanced="0"/>
    <cacheHierarchy uniqueName="[Table1].[GPA]" caption="GPA" attribute="1" defaultMemberUniqueName="[Table1].[GPA].[All]" allUniqueName="[Table1].[GPA].[All]" dimensionUniqueName="[Table1]" displayFolder="" count="0" memberValueDatatype="5" unbalanced="0"/>
    <cacheHierarchy uniqueName="[Table1].[Algebra]" caption="Algebra" attribute="1" defaultMemberUniqueName="[Table1].[Algebra].[All]" allUniqueName="[Table1].[Algebra].[All]" dimensionUniqueName="[Table1]" displayFolder="" count="0" memberValueDatatype="20" unbalanced="0"/>
    <cacheHierarchy uniqueName="[Table1].[Calculus1]" caption="Calculus1" attribute="1" defaultMemberUniqueName="[Table1].[Calculus1].[All]" allUniqueName="[Table1].[Calculus1].[All]" dimensionUniqueName="[Table1]" displayFolder="" count="0" memberValueDatatype="20" unbalanced="0"/>
    <cacheHierarchy uniqueName="[Table1].[Calculus2]" caption="Calculus2" attribute="1" defaultMemberUniqueName="[Table1].[Calculus2].[All]" allUniqueName="[Table1].[Calculus2].[All]" dimensionUniqueName="[Table1]" displayFolder="" count="0" memberValueDatatype="20" unbalanced="0"/>
    <cacheHierarchy uniqueName="[Table1].[Statistics]" caption="Statistics" attribute="1" defaultMemberUniqueName="[Table1].[Statistics].[All]" allUniqueName="[Table1].[Statistics].[All]" dimensionUniqueName="[Table1]" displayFolder="" count="0" memberValueDatatype="20" unbalanced="0"/>
    <cacheHierarchy uniqueName="[Table1].[Probability]" caption="Probability" attribute="1" defaultMemberUniqueName="[Table1].[Probability].[All]" allUniqueName="[Table1].[Probability].[All]" dimensionUniqueName="[Table1]" displayFolder="" count="0" memberValueDatatype="5" unbalanced="0"/>
    <cacheHierarchy uniqueName="[Table1].[Measure]" caption="Measure" attribute="1" defaultMemberUniqueName="[Table1].[Measure].[All]" allUniqueName="[Table1].[Measure].[All]" dimensionUniqueName="[Table1]" displayFolder="" count="0" memberValueDatatype="20" unbalanced="0"/>
    <cacheHierarchy uniqueName="[Table1].[Functional_analysis]" caption="Functional_analysis" attribute="1" defaultMemberUniqueName="[Table1].[Functional_analysis].[All]" allUniqueName="[Table1].[Functional_analysis].[All]" dimensionUniqueName="[Table1]" displayFolder="" count="0" memberValueDatatype="20" unbalanced="0"/>
    <cacheHierarchy uniqueName="[Table1].[from1]" caption="from1" attribute="1" defaultMemberUniqueName="[Table1].[from1].[All]" allUniqueName="[Table1].[from1].[All]" dimensionUniqueName="[Table1]" displayFolder="" count="0" memberValueDatatype="130" unbalanced="0"/>
    <cacheHierarchy uniqueName="[Table1].[from2]" caption="from2" attribute="1" defaultMemberUniqueName="[Table1].[from2].[All]" allUniqueName="[Table1].[from2].[All]" dimensionUniqueName="[Table1]" displayFolder="" count="0" memberValueDatatype="130" unbalanced="0"/>
    <cacheHierarchy uniqueName="[Table1].[from3]" caption="from3" attribute="1" defaultMemberUniqueName="[Table1].[from3].[All]" allUniqueName="[Table1].[from3].[All]" dimensionUniqueName="[Table1]" displayFolder="" count="0" memberValueDatatype="130" unbalanced="0"/>
    <cacheHierarchy uniqueName="[Table1].[from4]" caption="from4" attribute="1" defaultMemberUniqueName="[Table1].[from4].[All]" allUniqueName="[Table1].[from4].[All]" dimensionUniqueName="[Table1]" displayFolder="" count="0" memberValueDatatype="20" unbalanced="0"/>
    <cacheHierarchy uniqueName="[Table1].[y]" caption="y" attribute="1" defaultMemberUniqueName="[Table1].[y].[All]" allUniqueName="[Table1].[y].[All]" dimensionUniqueName="[Table1]" displayFolder="" count="0"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hidden="1">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hidden="1">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hidden="1">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hidden="1">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hidden="1">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hidden="1">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hidden="1">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dimensions count="3">
    <dimension name="dataSet__2" uniqueName="[dataSet__2]" caption="dataSet__2"/>
    <dimension measure="1" name="Measures" uniqueName="[Measures]" caption="Measures"/>
    <dimension name="Table1" uniqueName="[Table1]" caption="Table1"/>
  </dimensions>
  <measureGroups count="2">
    <measureGroup name="dataSet__2" caption="dataSet__2"/>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9932986113" backgroundQuery="1" createdVersion="8" refreshedVersion="8" minRefreshableVersion="3" recordCount="0" supportSubquery="1" supportAdvancedDrill="1" xr:uid="{CD98B518-7659-4C95-AFBA-BC45FC78A471}">
  <cacheSource type="external" connectionId="2"/>
  <cacheFields count="3">
    <cacheField name="[dataSet__2].[gender].[gender]" caption="gender" numFmtId="0" hierarchy="2" level="1">
      <sharedItems count="2">
        <s v="female"/>
        <s v="male"/>
      </sharedItems>
    </cacheField>
    <cacheField name="[Measures].[Count of ID]" caption="Count of ID" numFmtId="0" hierarchy="37" level="32767"/>
    <cacheField name="[dataSet__2].[class].[class]" caption="class" numFmtId="0" hierarchy="1" level="1">
      <sharedItems containsSemiMixedTypes="0" containsNonDate="0" containsString="0"/>
    </cacheField>
  </cacheFields>
  <cacheHierarchies count="52">
    <cacheHierarchy uniqueName="[dataSet__2].[ID]" caption="ID" attribute="1" defaultMemberUniqueName="[dataSet__2].[ID].[All]" allUniqueName="[dataSet__2].[ID].[All]" dimensionUniqueName="[dataSet__2]" displayFolder="" count="0" memberValueDatatype="20" unbalanced="0"/>
    <cacheHierarchy uniqueName="[dataSet__2].[class]" caption="class" attribute="1" defaultMemberUniqueName="[dataSet__2].[class].[All]" allUniqueName="[dataSet__2].[class].[All]" dimensionUniqueName="[dataSet__2]" displayFolder="" count="2" memberValueDatatype="130" unbalanced="0">
      <fieldsUsage count="2">
        <fieldUsage x="-1"/>
        <fieldUsage x="2"/>
      </fieldsUsage>
    </cacheHierarchy>
    <cacheHierarchy uniqueName="[dataSet__2].[gender]" caption="gender" attribute="1" defaultMemberUniqueName="[dataSet__2].[gender].[All]" allUniqueName="[dataSet__2].[gender].[All]" dimensionUniqueName="[dataSet__2]" displayFolder="" count="2" memberValueDatatype="130" unbalanced="0">
      <fieldsUsage count="2">
        <fieldUsage x="-1"/>
        <fieldUsage x="0"/>
      </fieldsUsage>
    </cacheHierarchy>
    <cacheHierarchy uniqueName="[dataSet__2].[race]" caption="race" attribute="1" defaultMemberUniqueName="[dataSet__2].[race].[All]" allUniqueName="[dataSet__2].[race].[All]" dimensionUniqueName="[dataSet__2]" displayFolder="" count="0" memberValueDatatype="20" unbalanced="0"/>
    <cacheHierarchy uniqueName="[dataSet__2].[GPA]" caption="GPA" attribute="1" defaultMemberUniqueName="[dataSet__2].[GPA].[All]" allUniqueName="[dataSet__2].[GPA].[All]" dimensionUniqueName="[dataSet__2]" displayFolder="" count="0" memberValueDatatype="5" unbalanced="0"/>
    <cacheHierarchy uniqueName="[dataSet__2].[Algebra]" caption="Algebra" attribute="1" defaultMemberUniqueName="[dataSet__2].[Algebra].[All]" allUniqueName="[dataSet__2].[Algebra].[All]" dimensionUniqueName="[dataSet__2]" displayFolder="" count="0" memberValueDatatype="20" unbalanced="0"/>
    <cacheHierarchy uniqueName="[dataSet__2].[Calculus1]" caption="Calculus1" attribute="1" defaultMemberUniqueName="[dataSet__2].[Calculus1].[All]" allUniqueName="[dataSet__2].[Calculus1].[All]" dimensionUniqueName="[dataSet__2]" displayFolder="" count="0" memberValueDatatype="20" unbalanced="0"/>
    <cacheHierarchy uniqueName="[dataSet__2].[Calculus2]" caption="Calculus2" attribute="1" defaultMemberUniqueName="[dataSet__2].[Calculus2].[All]" allUniqueName="[dataSet__2].[Calculus2].[All]" dimensionUniqueName="[dataSet__2]" displayFolder="" count="0" memberValueDatatype="20" unbalanced="0"/>
    <cacheHierarchy uniqueName="[dataSet__2].[Statistics]" caption="Statistics" attribute="1" defaultMemberUniqueName="[dataSet__2].[Statistics].[All]" allUniqueName="[dataSet__2].[Statistics].[All]" dimensionUniqueName="[dataSet__2]" displayFolder="" count="0" memberValueDatatype="20" unbalanced="0"/>
    <cacheHierarchy uniqueName="[dataSet__2].[Probability]" caption="Probability" attribute="1" defaultMemberUniqueName="[dataSet__2].[Probability].[All]" allUniqueName="[dataSet__2].[Probability].[All]" dimensionUniqueName="[dataSet__2]" displayFolder="" count="0" memberValueDatatype="5" unbalanced="0"/>
    <cacheHierarchy uniqueName="[dataSet__2].[Measure]" caption="Measure" attribute="1" defaultMemberUniqueName="[dataSet__2].[Measure].[All]" allUniqueName="[dataSet__2].[Measure].[All]" dimensionUniqueName="[dataSet__2]" displayFolder="" count="0" memberValueDatatype="20" unbalanced="0"/>
    <cacheHierarchy uniqueName="[dataSet__2].[Functional_analysis]" caption="Functional_analysis" attribute="1" defaultMemberUniqueName="[dataSet__2].[Functional_analysis].[All]" allUniqueName="[dataSet__2].[Functional_analysis].[All]" dimensionUniqueName="[dataSet__2]" displayFolder="" count="0" memberValueDatatype="20" unbalanced="0"/>
    <cacheHierarchy uniqueName="[dataSet__2].[from1]" caption="from1" attribute="1" defaultMemberUniqueName="[dataSet__2].[from1].[All]" allUniqueName="[dataSet__2].[from1].[All]" dimensionUniqueName="[dataSet__2]" displayFolder="" count="0" memberValueDatatype="130" unbalanced="0"/>
    <cacheHierarchy uniqueName="[dataSet__2].[from2]" caption="from2" attribute="1" defaultMemberUniqueName="[dataSet__2].[from2].[All]" allUniqueName="[dataSet__2].[from2].[All]" dimensionUniqueName="[dataSet__2]" displayFolder="" count="0" memberValueDatatype="130" unbalanced="0"/>
    <cacheHierarchy uniqueName="[dataSet__2].[from3]" caption="from3" attribute="1" defaultMemberUniqueName="[dataSet__2].[from3].[All]" allUniqueName="[dataSet__2].[from3].[All]" dimensionUniqueName="[dataSet__2]" displayFolder="" count="2" memberValueDatatype="130" unbalanced="0"/>
    <cacheHierarchy uniqueName="[dataSet__2].[y]" caption="y" attribute="1" defaultMemberUniqueName="[dataSet__2].[y].[All]" allUniqueName="[dataSet__2].[y].[All]" dimensionUniqueName="[dataSet__2]"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class]" caption="class" attribute="1" defaultMemberUniqueName="[Table1].[class].[All]" allUniqueName="[Table1].[clas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race]" caption="race" attribute="1" defaultMemberUniqueName="[Table1].[race].[All]" allUniqueName="[Table1].[race].[All]" dimensionUniqueName="[Table1]" displayFolder="" count="0" memberValueDatatype="20" unbalanced="0"/>
    <cacheHierarchy uniqueName="[Table1].[GPA]" caption="GPA" attribute="1" defaultMemberUniqueName="[Table1].[GPA].[All]" allUniqueName="[Table1].[GPA].[All]" dimensionUniqueName="[Table1]" displayFolder="" count="0" memberValueDatatype="5" unbalanced="0"/>
    <cacheHierarchy uniqueName="[Table1].[Algebra]" caption="Algebra" attribute="1" defaultMemberUniqueName="[Table1].[Algebra].[All]" allUniqueName="[Table1].[Algebra].[All]" dimensionUniqueName="[Table1]" displayFolder="" count="0" memberValueDatatype="20" unbalanced="0"/>
    <cacheHierarchy uniqueName="[Table1].[Calculus1]" caption="Calculus1" attribute="1" defaultMemberUniqueName="[Table1].[Calculus1].[All]" allUniqueName="[Table1].[Calculus1].[All]" dimensionUniqueName="[Table1]" displayFolder="" count="0" memberValueDatatype="20" unbalanced="0"/>
    <cacheHierarchy uniqueName="[Table1].[Calculus2]" caption="Calculus2" attribute="1" defaultMemberUniqueName="[Table1].[Calculus2].[All]" allUniqueName="[Table1].[Calculus2].[All]" dimensionUniqueName="[Table1]" displayFolder="" count="0" memberValueDatatype="20" unbalanced="0"/>
    <cacheHierarchy uniqueName="[Table1].[Statistics]" caption="Statistics" attribute="1" defaultMemberUniqueName="[Table1].[Statistics].[All]" allUniqueName="[Table1].[Statistics].[All]" dimensionUniqueName="[Table1]" displayFolder="" count="0" memberValueDatatype="20" unbalanced="0"/>
    <cacheHierarchy uniqueName="[Table1].[Probability]" caption="Probability" attribute="1" defaultMemberUniqueName="[Table1].[Probability].[All]" allUniqueName="[Table1].[Probability].[All]" dimensionUniqueName="[Table1]" displayFolder="" count="0" memberValueDatatype="5" unbalanced="0"/>
    <cacheHierarchy uniqueName="[Table1].[Measure]" caption="Measure" attribute="1" defaultMemberUniqueName="[Table1].[Measure].[All]" allUniqueName="[Table1].[Measure].[All]" dimensionUniqueName="[Table1]" displayFolder="" count="0" memberValueDatatype="20" unbalanced="0"/>
    <cacheHierarchy uniqueName="[Table1].[Functional_analysis]" caption="Functional_analysis" attribute="1" defaultMemberUniqueName="[Table1].[Functional_analysis].[All]" allUniqueName="[Table1].[Functional_analysis].[All]" dimensionUniqueName="[Table1]" displayFolder="" count="0" memberValueDatatype="20" unbalanced="0"/>
    <cacheHierarchy uniqueName="[Table1].[from1]" caption="from1" attribute="1" defaultMemberUniqueName="[Table1].[from1].[All]" allUniqueName="[Table1].[from1].[All]" dimensionUniqueName="[Table1]" displayFolder="" count="0" memberValueDatatype="130" unbalanced="0"/>
    <cacheHierarchy uniqueName="[Table1].[from2]" caption="from2" attribute="1" defaultMemberUniqueName="[Table1].[from2].[All]" allUniqueName="[Table1].[from2].[All]" dimensionUniqueName="[Table1]" displayFolder="" count="0" memberValueDatatype="130" unbalanced="0"/>
    <cacheHierarchy uniqueName="[Table1].[from3]" caption="from3" attribute="1" defaultMemberUniqueName="[Table1].[from3].[All]" allUniqueName="[Table1].[from3].[All]" dimensionUniqueName="[Table1]" displayFolder="" count="0" memberValueDatatype="130" unbalanced="0"/>
    <cacheHierarchy uniqueName="[Table1].[from4]" caption="from4" attribute="1" defaultMemberUniqueName="[Table1].[from4].[All]" allUniqueName="[Table1].[from4].[All]" dimensionUniqueName="[Table1]" displayFolder="" count="0" memberValueDatatype="20" unbalanced="0"/>
    <cacheHierarchy uniqueName="[Table1].[y]" caption="y" attribute="1" defaultMemberUniqueName="[Table1].[y].[All]" allUniqueName="[Table1].[y].[All]" dimensionUniqueName="[Table1]" displayFolder="" count="0"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hidden="1">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hidden="1">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hidden="1">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hidden="1">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hidden="1">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hidden="1">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hidden="1">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dimensions count="3">
    <dimension name="dataSet__2" uniqueName="[dataSet__2]" caption="dataSet__2"/>
    <dimension measure="1" name="Measures" uniqueName="[Measures]" caption="Measures"/>
    <dimension name="Table1" uniqueName="[Table1]" caption="Table1"/>
  </dimensions>
  <measureGroups count="2">
    <measureGroup name="dataSet__2" caption="dataSet__2"/>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9933449075" backgroundQuery="1" createdVersion="8" refreshedVersion="8" minRefreshableVersion="3" recordCount="0" supportSubquery="1" supportAdvancedDrill="1" xr:uid="{26663BA6-77E8-48C8-B6EE-B30C5EF13581}">
  <cacheSource type="external" connectionId="2"/>
  <cacheFields count="3">
    <cacheField name="[dataSet__2].[from3].[from3]" caption="from3" numFmtId="0" hierarchy="14" level="1">
      <sharedItems count="5">
        <s v="A"/>
        <s v="B"/>
        <s v="C"/>
        <s v="D"/>
        <s v="S"/>
      </sharedItems>
    </cacheField>
    <cacheField name="[Measures].[Sum of GPA]" caption="Sum of GPA" numFmtId="0" hierarchy="38" level="32767"/>
    <cacheField name="[dataSet__2].[class].[class]" caption="class" numFmtId="0" hierarchy="1" level="1">
      <sharedItems containsSemiMixedTypes="0" containsNonDate="0" containsString="0"/>
    </cacheField>
  </cacheFields>
  <cacheHierarchies count="52">
    <cacheHierarchy uniqueName="[dataSet__2].[ID]" caption="ID" attribute="1" defaultMemberUniqueName="[dataSet__2].[ID].[All]" allUniqueName="[dataSet__2].[ID].[All]" dimensionUniqueName="[dataSet__2]" displayFolder="" count="0" memberValueDatatype="20" unbalanced="0"/>
    <cacheHierarchy uniqueName="[dataSet__2].[class]" caption="class" attribute="1" defaultMemberUniqueName="[dataSet__2].[class].[All]" allUniqueName="[dataSet__2].[class].[All]" dimensionUniqueName="[dataSet__2]" displayFolder="" count="2" memberValueDatatype="130" unbalanced="0">
      <fieldsUsage count="2">
        <fieldUsage x="-1"/>
        <fieldUsage x="2"/>
      </fieldsUsage>
    </cacheHierarchy>
    <cacheHierarchy uniqueName="[dataSet__2].[gender]" caption="gender" attribute="1" defaultMemberUniqueName="[dataSet__2].[gender].[All]" allUniqueName="[dataSet__2].[gender].[All]" dimensionUniqueName="[dataSet__2]" displayFolder="" count="2" memberValueDatatype="130" unbalanced="0"/>
    <cacheHierarchy uniqueName="[dataSet__2].[race]" caption="race" attribute="1" defaultMemberUniqueName="[dataSet__2].[race].[All]" allUniqueName="[dataSet__2].[race].[All]" dimensionUniqueName="[dataSet__2]" displayFolder="" count="0" memberValueDatatype="20" unbalanced="0"/>
    <cacheHierarchy uniqueName="[dataSet__2].[GPA]" caption="GPA" attribute="1" defaultMemberUniqueName="[dataSet__2].[GPA].[All]" allUniqueName="[dataSet__2].[GPA].[All]" dimensionUniqueName="[dataSet__2]" displayFolder="" count="0" memberValueDatatype="5" unbalanced="0"/>
    <cacheHierarchy uniqueName="[dataSet__2].[Algebra]" caption="Algebra" attribute="1" defaultMemberUniqueName="[dataSet__2].[Algebra].[All]" allUniqueName="[dataSet__2].[Algebra].[All]" dimensionUniqueName="[dataSet__2]" displayFolder="" count="0" memberValueDatatype="20" unbalanced="0"/>
    <cacheHierarchy uniqueName="[dataSet__2].[Calculus1]" caption="Calculus1" attribute="1" defaultMemberUniqueName="[dataSet__2].[Calculus1].[All]" allUniqueName="[dataSet__2].[Calculus1].[All]" dimensionUniqueName="[dataSet__2]" displayFolder="" count="0" memberValueDatatype="20" unbalanced="0"/>
    <cacheHierarchy uniqueName="[dataSet__2].[Calculus2]" caption="Calculus2" attribute="1" defaultMemberUniqueName="[dataSet__2].[Calculus2].[All]" allUniqueName="[dataSet__2].[Calculus2].[All]" dimensionUniqueName="[dataSet__2]" displayFolder="" count="0" memberValueDatatype="20" unbalanced="0"/>
    <cacheHierarchy uniqueName="[dataSet__2].[Statistics]" caption="Statistics" attribute="1" defaultMemberUniqueName="[dataSet__2].[Statistics].[All]" allUniqueName="[dataSet__2].[Statistics].[All]" dimensionUniqueName="[dataSet__2]" displayFolder="" count="0" memberValueDatatype="20" unbalanced="0"/>
    <cacheHierarchy uniqueName="[dataSet__2].[Probability]" caption="Probability" attribute="1" defaultMemberUniqueName="[dataSet__2].[Probability].[All]" allUniqueName="[dataSet__2].[Probability].[All]" dimensionUniqueName="[dataSet__2]" displayFolder="" count="0" memberValueDatatype="5" unbalanced="0"/>
    <cacheHierarchy uniqueName="[dataSet__2].[Measure]" caption="Measure" attribute="1" defaultMemberUniqueName="[dataSet__2].[Measure].[All]" allUniqueName="[dataSet__2].[Measure].[All]" dimensionUniqueName="[dataSet__2]" displayFolder="" count="0" memberValueDatatype="20" unbalanced="0"/>
    <cacheHierarchy uniqueName="[dataSet__2].[Functional_analysis]" caption="Functional_analysis" attribute="1" defaultMemberUniqueName="[dataSet__2].[Functional_analysis].[All]" allUniqueName="[dataSet__2].[Functional_analysis].[All]" dimensionUniqueName="[dataSet__2]" displayFolder="" count="0" memberValueDatatype="20" unbalanced="0"/>
    <cacheHierarchy uniqueName="[dataSet__2].[from1]" caption="from1" attribute="1" defaultMemberUniqueName="[dataSet__2].[from1].[All]" allUniqueName="[dataSet__2].[from1].[All]" dimensionUniqueName="[dataSet__2]" displayFolder="" count="0" memberValueDatatype="130" unbalanced="0"/>
    <cacheHierarchy uniqueName="[dataSet__2].[from2]" caption="from2" attribute="1" defaultMemberUniqueName="[dataSet__2].[from2].[All]" allUniqueName="[dataSet__2].[from2].[All]" dimensionUniqueName="[dataSet__2]" displayFolder="" count="0" memberValueDatatype="130" unbalanced="0"/>
    <cacheHierarchy uniqueName="[dataSet__2].[from3]" caption="from3" attribute="1" defaultMemberUniqueName="[dataSet__2].[from3].[All]" allUniqueName="[dataSet__2].[from3].[All]" dimensionUniqueName="[dataSet__2]" displayFolder="" count="2" memberValueDatatype="130" unbalanced="0">
      <fieldsUsage count="2">
        <fieldUsage x="-1"/>
        <fieldUsage x="0"/>
      </fieldsUsage>
    </cacheHierarchy>
    <cacheHierarchy uniqueName="[dataSet__2].[y]" caption="y" attribute="1" defaultMemberUniqueName="[dataSet__2].[y].[All]" allUniqueName="[dataSet__2].[y].[All]" dimensionUniqueName="[dataSet__2]"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class]" caption="class" attribute="1" defaultMemberUniqueName="[Table1].[class].[All]" allUniqueName="[Table1].[clas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race]" caption="race" attribute="1" defaultMemberUniqueName="[Table1].[race].[All]" allUniqueName="[Table1].[race].[All]" dimensionUniqueName="[Table1]" displayFolder="" count="0" memberValueDatatype="20" unbalanced="0"/>
    <cacheHierarchy uniqueName="[Table1].[GPA]" caption="GPA" attribute="1" defaultMemberUniqueName="[Table1].[GPA].[All]" allUniqueName="[Table1].[GPA].[All]" dimensionUniqueName="[Table1]" displayFolder="" count="0" memberValueDatatype="5" unbalanced="0"/>
    <cacheHierarchy uniqueName="[Table1].[Algebra]" caption="Algebra" attribute="1" defaultMemberUniqueName="[Table1].[Algebra].[All]" allUniqueName="[Table1].[Algebra].[All]" dimensionUniqueName="[Table1]" displayFolder="" count="0" memberValueDatatype="20" unbalanced="0"/>
    <cacheHierarchy uniqueName="[Table1].[Calculus1]" caption="Calculus1" attribute="1" defaultMemberUniqueName="[Table1].[Calculus1].[All]" allUniqueName="[Table1].[Calculus1].[All]" dimensionUniqueName="[Table1]" displayFolder="" count="0" memberValueDatatype="20" unbalanced="0"/>
    <cacheHierarchy uniqueName="[Table1].[Calculus2]" caption="Calculus2" attribute="1" defaultMemberUniqueName="[Table1].[Calculus2].[All]" allUniqueName="[Table1].[Calculus2].[All]" dimensionUniqueName="[Table1]" displayFolder="" count="0" memberValueDatatype="20" unbalanced="0"/>
    <cacheHierarchy uniqueName="[Table1].[Statistics]" caption="Statistics" attribute="1" defaultMemberUniqueName="[Table1].[Statistics].[All]" allUniqueName="[Table1].[Statistics].[All]" dimensionUniqueName="[Table1]" displayFolder="" count="0" memberValueDatatype="20" unbalanced="0"/>
    <cacheHierarchy uniqueName="[Table1].[Probability]" caption="Probability" attribute="1" defaultMemberUniqueName="[Table1].[Probability].[All]" allUniqueName="[Table1].[Probability].[All]" dimensionUniqueName="[Table1]" displayFolder="" count="0" memberValueDatatype="5" unbalanced="0"/>
    <cacheHierarchy uniqueName="[Table1].[Measure]" caption="Measure" attribute="1" defaultMemberUniqueName="[Table1].[Measure].[All]" allUniqueName="[Table1].[Measure].[All]" dimensionUniqueName="[Table1]" displayFolder="" count="0" memberValueDatatype="20" unbalanced="0"/>
    <cacheHierarchy uniqueName="[Table1].[Functional_analysis]" caption="Functional_analysis" attribute="1" defaultMemberUniqueName="[Table1].[Functional_analysis].[All]" allUniqueName="[Table1].[Functional_analysis].[All]" dimensionUniqueName="[Table1]" displayFolder="" count="0" memberValueDatatype="20" unbalanced="0"/>
    <cacheHierarchy uniqueName="[Table1].[from1]" caption="from1" attribute="1" defaultMemberUniqueName="[Table1].[from1].[All]" allUniqueName="[Table1].[from1].[All]" dimensionUniqueName="[Table1]" displayFolder="" count="0" memberValueDatatype="130" unbalanced="0"/>
    <cacheHierarchy uniqueName="[Table1].[from2]" caption="from2" attribute="1" defaultMemberUniqueName="[Table1].[from2].[All]" allUniqueName="[Table1].[from2].[All]" dimensionUniqueName="[Table1]" displayFolder="" count="0" memberValueDatatype="130" unbalanced="0"/>
    <cacheHierarchy uniqueName="[Table1].[from3]" caption="from3" attribute="1" defaultMemberUniqueName="[Table1].[from3].[All]" allUniqueName="[Table1].[from3].[All]" dimensionUniqueName="[Table1]" displayFolder="" count="0" memberValueDatatype="130" unbalanced="0"/>
    <cacheHierarchy uniqueName="[Table1].[from4]" caption="from4" attribute="1" defaultMemberUniqueName="[Table1].[from4].[All]" allUniqueName="[Table1].[from4].[All]" dimensionUniqueName="[Table1]" displayFolder="" count="0" memberValueDatatype="20" unbalanced="0"/>
    <cacheHierarchy uniqueName="[Table1].[y]" caption="y" attribute="1" defaultMemberUniqueName="[Table1].[y].[All]" allUniqueName="[Table1].[y].[All]" dimensionUniqueName="[Table1]" displayFolder="" count="0"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hidden="1">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hidden="1">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hidden="1">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hidden="1">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hidden="1">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hidden="1">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hidden="1">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dimensions count="3">
    <dimension name="dataSet__2" uniqueName="[dataSet__2]" caption="dataSet__2"/>
    <dimension measure="1" name="Measures" uniqueName="[Measures]" caption="Measures"/>
    <dimension name="Table1" uniqueName="[Table1]" caption="Table1"/>
  </dimensions>
  <measureGroups count="2">
    <measureGroup name="dataSet__2" caption="dataSet__2"/>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9933912037" backgroundQuery="1" createdVersion="8" refreshedVersion="8" minRefreshableVersion="3" recordCount="0" supportSubquery="1" supportAdvancedDrill="1" xr:uid="{5935C497-675A-4957-B8A3-769A09D62634}">
  <cacheSource type="external" connectionId="2"/>
  <cacheFields count="5">
    <cacheField name="[dataSet__2].[from3].[from3]" caption="from3" numFmtId="0" hierarchy="14" level="1">
      <sharedItems count="5">
        <s v="A"/>
        <s v="B"/>
        <s v="C"/>
        <s v="D"/>
        <s v="S"/>
      </sharedItems>
    </cacheField>
    <cacheField name="[Measures].[Sum of Calculus1]" caption="Sum of Calculus1" numFmtId="0" hierarchy="39" level="32767"/>
    <cacheField name="[Measures].[Sum of Algebra]" caption="Sum of Algebra" numFmtId="0" hierarchy="40" level="32767"/>
    <cacheField name="[Measures].[Sum of Calculus2]" caption="Sum of Calculus2" numFmtId="0" hierarchy="41" level="32767"/>
    <cacheField name="[dataSet__2].[class].[class]" caption="class" numFmtId="0" hierarchy="1" level="1">
      <sharedItems containsSemiMixedTypes="0" containsNonDate="0" containsString="0"/>
    </cacheField>
  </cacheFields>
  <cacheHierarchies count="52">
    <cacheHierarchy uniqueName="[dataSet__2].[ID]" caption="ID" attribute="1" defaultMemberUniqueName="[dataSet__2].[ID].[All]" allUniqueName="[dataSet__2].[ID].[All]" dimensionUniqueName="[dataSet__2]" displayFolder="" count="0" memberValueDatatype="20" unbalanced="0"/>
    <cacheHierarchy uniqueName="[dataSet__2].[class]" caption="class" attribute="1" defaultMemberUniqueName="[dataSet__2].[class].[All]" allUniqueName="[dataSet__2].[class].[All]" dimensionUniqueName="[dataSet__2]" displayFolder="" count="2" memberValueDatatype="130" unbalanced="0">
      <fieldsUsage count="2">
        <fieldUsage x="-1"/>
        <fieldUsage x="4"/>
      </fieldsUsage>
    </cacheHierarchy>
    <cacheHierarchy uniqueName="[dataSet__2].[gender]" caption="gender" attribute="1" defaultMemberUniqueName="[dataSet__2].[gender].[All]" allUniqueName="[dataSet__2].[gender].[All]" dimensionUniqueName="[dataSet__2]" displayFolder="" count="2" memberValueDatatype="130" unbalanced="0"/>
    <cacheHierarchy uniqueName="[dataSet__2].[race]" caption="race" attribute="1" defaultMemberUniqueName="[dataSet__2].[race].[All]" allUniqueName="[dataSet__2].[race].[All]" dimensionUniqueName="[dataSet__2]" displayFolder="" count="0" memberValueDatatype="20" unbalanced="0"/>
    <cacheHierarchy uniqueName="[dataSet__2].[GPA]" caption="GPA" attribute="1" defaultMemberUniqueName="[dataSet__2].[GPA].[All]" allUniqueName="[dataSet__2].[GPA].[All]" dimensionUniqueName="[dataSet__2]" displayFolder="" count="0" memberValueDatatype="5" unbalanced="0"/>
    <cacheHierarchy uniqueName="[dataSet__2].[Algebra]" caption="Algebra" attribute="1" defaultMemberUniqueName="[dataSet__2].[Algebra].[All]" allUniqueName="[dataSet__2].[Algebra].[All]" dimensionUniqueName="[dataSet__2]" displayFolder="" count="0" memberValueDatatype="20" unbalanced="0"/>
    <cacheHierarchy uniqueName="[dataSet__2].[Calculus1]" caption="Calculus1" attribute="1" defaultMemberUniqueName="[dataSet__2].[Calculus1].[All]" allUniqueName="[dataSet__2].[Calculus1].[All]" dimensionUniqueName="[dataSet__2]" displayFolder="" count="0" memberValueDatatype="20" unbalanced="0"/>
    <cacheHierarchy uniqueName="[dataSet__2].[Calculus2]" caption="Calculus2" attribute="1" defaultMemberUniqueName="[dataSet__2].[Calculus2].[All]" allUniqueName="[dataSet__2].[Calculus2].[All]" dimensionUniqueName="[dataSet__2]" displayFolder="" count="0" memberValueDatatype="20" unbalanced="0"/>
    <cacheHierarchy uniqueName="[dataSet__2].[Statistics]" caption="Statistics" attribute="1" defaultMemberUniqueName="[dataSet__2].[Statistics].[All]" allUniqueName="[dataSet__2].[Statistics].[All]" dimensionUniqueName="[dataSet__2]" displayFolder="" count="0" memberValueDatatype="20" unbalanced="0"/>
    <cacheHierarchy uniqueName="[dataSet__2].[Probability]" caption="Probability" attribute="1" defaultMemberUniqueName="[dataSet__2].[Probability].[All]" allUniqueName="[dataSet__2].[Probability].[All]" dimensionUniqueName="[dataSet__2]" displayFolder="" count="0" memberValueDatatype="5" unbalanced="0"/>
    <cacheHierarchy uniqueName="[dataSet__2].[Measure]" caption="Measure" attribute="1" defaultMemberUniqueName="[dataSet__2].[Measure].[All]" allUniqueName="[dataSet__2].[Measure].[All]" dimensionUniqueName="[dataSet__2]" displayFolder="" count="0" memberValueDatatype="20" unbalanced="0"/>
    <cacheHierarchy uniqueName="[dataSet__2].[Functional_analysis]" caption="Functional_analysis" attribute="1" defaultMemberUniqueName="[dataSet__2].[Functional_analysis].[All]" allUniqueName="[dataSet__2].[Functional_analysis].[All]" dimensionUniqueName="[dataSet__2]" displayFolder="" count="0" memberValueDatatype="20" unbalanced="0"/>
    <cacheHierarchy uniqueName="[dataSet__2].[from1]" caption="from1" attribute="1" defaultMemberUniqueName="[dataSet__2].[from1].[All]" allUniqueName="[dataSet__2].[from1].[All]" dimensionUniqueName="[dataSet__2]" displayFolder="" count="0" memberValueDatatype="130" unbalanced="0"/>
    <cacheHierarchy uniqueName="[dataSet__2].[from2]" caption="from2" attribute="1" defaultMemberUniqueName="[dataSet__2].[from2].[All]" allUniqueName="[dataSet__2].[from2].[All]" dimensionUniqueName="[dataSet__2]" displayFolder="" count="0" memberValueDatatype="130" unbalanced="0"/>
    <cacheHierarchy uniqueName="[dataSet__2].[from3]" caption="from3" attribute="1" defaultMemberUniqueName="[dataSet__2].[from3].[All]" allUniqueName="[dataSet__2].[from3].[All]" dimensionUniqueName="[dataSet__2]" displayFolder="" count="2" memberValueDatatype="130" unbalanced="0">
      <fieldsUsage count="2">
        <fieldUsage x="-1"/>
        <fieldUsage x="0"/>
      </fieldsUsage>
    </cacheHierarchy>
    <cacheHierarchy uniqueName="[dataSet__2].[y]" caption="y" attribute="1" defaultMemberUniqueName="[dataSet__2].[y].[All]" allUniqueName="[dataSet__2].[y].[All]" dimensionUniqueName="[dataSet__2]"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class]" caption="class" attribute="1" defaultMemberUniqueName="[Table1].[class].[All]" allUniqueName="[Table1].[clas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race]" caption="race" attribute="1" defaultMemberUniqueName="[Table1].[race].[All]" allUniqueName="[Table1].[race].[All]" dimensionUniqueName="[Table1]" displayFolder="" count="0" memberValueDatatype="20" unbalanced="0"/>
    <cacheHierarchy uniqueName="[Table1].[GPA]" caption="GPA" attribute="1" defaultMemberUniqueName="[Table1].[GPA].[All]" allUniqueName="[Table1].[GPA].[All]" dimensionUniqueName="[Table1]" displayFolder="" count="0" memberValueDatatype="5" unbalanced="0"/>
    <cacheHierarchy uniqueName="[Table1].[Algebra]" caption="Algebra" attribute="1" defaultMemberUniqueName="[Table1].[Algebra].[All]" allUniqueName="[Table1].[Algebra].[All]" dimensionUniqueName="[Table1]" displayFolder="" count="0" memberValueDatatype="20" unbalanced="0"/>
    <cacheHierarchy uniqueName="[Table1].[Calculus1]" caption="Calculus1" attribute="1" defaultMemberUniqueName="[Table1].[Calculus1].[All]" allUniqueName="[Table1].[Calculus1].[All]" dimensionUniqueName="[Table1]" displayFolder="" count="0" memberValueDatatype="20" unbalanced="0"/>
    <cacheHierarchy uniqueName="[Table1].[Calculus2]" caption="Calculus2" attribute="1" defaultMemberUniqueName="[Table1].[Calculus2].[All]" allUniqueName="[Table1].[Calculus2].[All]" dimensionUniqueName="[Table1]" displayFolder="" count="0" memberValueDatatype="20" unbalanced="0"/>
    <cacheHierarchy uniqueName="[Table1].[Statistics]" caption="Statistics" attribute="1" defaultMemberUniqueName="[Table1].[Statistics].[All]" allUniqueName="[Table1].[Statistics].[All]" dimensionUniqueName="[Table1]" displayFolder="" count="0" memberValueDatatype="20" unbalanced="0"/>
    <cacheHierarchy uniqueName="[Table1].[Probability]" caption="Probability" attribute="1" defaultMemberUniqueName="[Table1].[Probability].[All]" allUniqueName="[Table1].[Probability].[All]" dimensionUniqueName="[Table1]" displayFolder="" count="0" memberValueDatatype="5" unbalanced="0"/>
    <cacheHierarchy uniqueName="[Table1].[Measure]" caption="Measure" attribute="1" defaultMemberUniqueName="[Table1].[Measure].[All]" allUniqueName="[Table1].[Measure].[All]" dimensionUniqueName="[Table1]" displayFolder="" count="0" memberValueDatatype="20" unbalanced="0"/>
    <cacheHierarchy uniqueName="[Table1].[Functional_analysis]" caption="Functional_analysis" attribute="1" defaultMemberUniqueName="[Table1].[Functional_analysis].[All]" allUniqueName="[Table1].[Functional_analysis].[All]" dimensionUniqueName="[Table1]" displayFolder="" count="0" memberValueDatatype="20" unbalanced="0"/>
    <cacheHierarchy uniqueName="[Table1].[from1]" caption="from1" attribute="1" defaultMemberUniqueName="[Table1].[from1].[All]" allUniqueName="[Table1].[from1].[All]" dimensionUniqueName="[Table1]" displayFolder="" count="0" memberValueDatatype="130" unbalanced="0"/>
    <cacheHierarchy uniqueName="[Table1].[from2]" caption="from2" attribute="1" defaultMemberUniqueName="[Table1].[from2].[All]" allUniqueName="[Table1].[from2].[All]" dimensionUniqueName="[Table1]" displayFolder="" count="0" memberValueDatatype="130" unbalanced="0"/>
    <cacheHierarchy uniqueName="[Table1].[from3]" caption="from3" attribute="1" defaultMemberUniqueName="[Table1].[from3].[All]" allUniqueName="[Table1].[from3].[All]" dimensionUniqueName="[Table1]" displayFolder="" count="0" memberValueDatatype="130" unbalanced="0"/>
    <cacheHierarchy uniqueName="[Table1].[from4]" caption="from4" attribute="1" defaultMemberUniqueName="[Table1].[from4].[All]" allUniqueName="[Table1].[from4].[All]" dimensionUniqueName="[Table1]" displayFolder="" count="0" memberValueDatatype="20" unbalanced="0"/>
    <cacheHierarchy uniqueName="[Table1].[y]" caption="y" attribute="1" defaultMemberUniqueName="[Table1].[y].[All]" allUniqueName="[Table1].[y].[All]" dimensionUniqueName="[Table1]" displayFolder="" count="0"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hidden="1">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hidden="1">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hidden="1">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hidden="1">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hidden="1">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dimensions count="3">
    <dimension name="dataSet__2" uniqueName="[dataSet__2]" caption="dataSet__2"/>
    <dimension measure="1" name="Measures" uniqueName="[Measures]" caption="Measures"/>
    <dimension name="Table1" uniqueName="[Table1]" caption="Table1"/>
  </dimensions>
  <measureGroups count="2">
    <measureGroup name="dataSet__2" caption="dataSet__2"/>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993425926" backgroundQuery="1" createdVersion="8" refreshedVersion="8" minRefreshableVersion="3" recordCount="0" supportSubquery="1" supportAdvancedDrill="1" xr:uid="{7ADCDB8F-B3AB-47DB-8F1E-FB2F0A37DF3D}">
  <cacheSource type="external" connectionId="2"/>
  <cacheFields count="3">
    <cacheField name="[dataSet__2].[class].[class]" caption="class" numFmtId="0" hierarchy="1" level="1">
      <sharedItems count="2">
        <s v="A"/>
        <s v="B"/>
      </sharedItems>
    </cacheField>
    <cacheField name="[dataSet__2].[y].[y]" caption="y" numFmtId="0" hierarchy="15" level="1">
      <sharedItems containsSemiMixedTypes="0" containsString="0" containsNumber="1" containsInteger="1" minValue="0" maxValue="2" count="3">
        <n v="0"/>
        <n v="1"/>
        <n v="2"/>
      </sharedItems>
      <extLst>
        <ext xmlns:x15="http://schemas.microsoft.com/office/spreadsheetml/2010/11/main" uri="{4F2E5C28-24EA-4eb8-9CBF-B6C8F9C3D259}">
          <x15:cachedUniqueNames>
            <x15:cachedUniqueName index="0" name="[dataSet__2].[y].&amp;[0]"/>
            <x15:cachedUniqueName index="1" name="[dataSet__2].[y].&amp;[1]"/>
            <x15:cachedUniqueName index="2" name="[dataSet__2].[y].&amp;[2]"/>
          </x15:cachedUniqueNames>
        </ext>
      </extLst>
    </cacheField>
    <cacheField name="[Measures].[Sum of Probability]" caption="Sum of Probability" numFmtId="0" hierarchy="43" level="32767"/>
  </cacheFields>
  <cacheHierarchies count="52">
    <cacheHierarchy uniqueName="[dataSet__2].[ID]" caption="ID" attribute="1" defaultMemberUniqueName="[dataSet__2].[ID].[All]" allUniqueName="[dataSet__2].[ID].[All]" dimensionUniqueName="[dataSet__2]" displayFolder="" count="0" memberValueDatatype="20" unbalanced="0"/>
    <cacheHierarchy uniqueName="[dataSet__2].[class]" caption="class" attribute="1" defaultMemberUniqueName="[dataSet__2].[class].[All]" allUniqueName="[dataSet__2].[class].[All]" dimensionUniqueName="[dataSet__2]" displayFolder="" count="2" memberValueDatatype="130" unbalanced="0">
      <fieldsUsage count="2">
        <fieldUsage x="-1"/>
        <fieldUsage x="0"/>
      </fieldsUsage>
    </cacheHierarchy>
    <cacheHierarchy uniqueName="[dataSet__2].[gender]" caption="gender" attribute="1" defaultMemberUniqueName="[dataSet__2].[gender].[All]" allUniqueName="[dataSet__2].[gender].[All]" dimensionUniqueName="[dataSet__2]" displayFolder="" count="2" memberValueDatatype="130" unbalanced="0"/>
    <cacheHierarchy uniqueName="[dataSet__2].[race]" caption="race" attribute="1" defaultMemberUniqueName="[dataSet__2].[race].[All]" allUniqueName="[dataSet__2].[race].[All]" dimensionUniqueName="[dataSet__2]" displayFolder="" count="0" memberValueDatatype="20" unbalanced="0"/>
    <cacheHierarchy uniqueName="[dataSet__2].[GPA]" caption="GPA" attribute="1" defaultMemberUniqueName="[dataSet__2].[GPA].[All]" allUniqueName="[dataSet__2].[GPA].[All]" dimensionUniqueName="[dataSet__2]" displayFolder="" count="0" memberValueDatatype="5" unbalanced="0"/>
    <cacheHierarchy uniqueName="[dataSet__2].[Algebra]" caption="Algebra" attribute="1" defaultMemberUniqueName="[dataSet__2].[Algebra].[All]" allUniqueName="[dataSet__2].[Algebra].[All]" dimensionUniqueName="[dataSet__2]" displayFolder="" count="0" memberValueDatatype="20" unbalanced="0"/>
    <cacheHierarchy uniqueName="[dataSet__2].[Calculus1]" caption="Calculus1" attribute="1" defaultMemberUniqueName="[dataSet__2].[Calculus1].[All]" allUniqueName="[dataSet__2].[Calculus1].[All]" dimensionUniqueName="[dataSet__2]" displayFolder="" count="0" memberValueDatatype="20" unbalanced="0"/>
    <cacheHierarchy uniqueName="[dataSet__2].[Calculus2]" caption="Calculus2" attribute="1" defaultMemberUniqueName="[dataSet__2].[Calculus2].[All]" allUniqueName="[dataSet__2].[Calculus2].[All]" dimensionUniqueName="[dataSet__2]" displayFolder="" count="0" memberValueDatatype="20" unbalanced="0"/>
    <cacheHierarchy uniqueName="[dataSet__2].[Statistics]" caption="Statistics" attribute="1" defaultMemberUniqueName="[dataSet__2].[Statistics].[All]" allUniqueName="[dataSet__2].[Statistics].[All]" dimensionUniqueName="[dataSet__2]" displayFolder="" count="0" memberValueDatatype="20" unbalanced="0"/>
    <cacheHierarchy uniqueName="[dataSet__2].[Probability]" caption="Probability" attribute="1" defaultMemberUniqueName="[dataSet__2].[Probability].[All]" allUniqueName="[dataSet__2].[Probability].[All]" dimensionUniqueName="[dataSet__2]" displayFolder="" count="0" memberValueDatatype="5" unbalanced="0"/>
    <cacheHierarchy uniqueName="[dataSet__2].[Measure]" caption="Measure" attribute="1" defaultMemberUniqueName="[dataSet__2].[Measure].[All]" allUniqueName="[dataSet__2].[Measure].[All]" dimensionUniqueName="[dataSet__2]" displayFolder="" count="0" memberValueDatatype="20" unbalanced="0"/>
    <cacheHierarchy uniqueName="[dataSet__2].[Functional_analysis]" caption="Functional_analysis" attribute="1" defaultMemberUniqueName="[dataSet__2].[Functional_analysis].[All]" allUniqueName="[dataSet__2].[Functional_analysis].[All]" dimensionUniqueName="[dataSet__2]" displayFolder="" count="0" memberValueDatatype="20" unbalanced="0"/>
    <cacheHierarchy uniqueName="[dataSet__2].[from1]" caption="from1" attribute="1" defaultMemberUniqueName="[dataSet__2].[from1].[All]" allUniqueName="[dataSet__2].[from1].[All]" dimensionUniqueName="[dataSet__2]" displayFolder="" count="0" memberValueDatatype="130" unbalanced="0"/>
    <cacheHierarchy uniqueName="[dataSet__2].[from2]" caption="from2" attribute="1" defaultMemberUniqueName="[dataSet__2].[from2].[All]" allUniqueName="[dataSet__2].[from2].[All]" dimensionUniqueName="[dataSet__2]" displayFolder="" count="0" memberValueDatatype="130" unbalanced="0"/>
    <cacheHierarchy uniqueName="[dataSet__2].[from3]" caption="from3" attribute="1" defaultMemberUniqueName="[dataSet__2].[from3].[All]" allUniqueName="[dataSet__2].[from3].[All]" dimensionUniqueName="[dataSet__2]" displayFolder="" count="2" memberValueDatatype="130" unbalanced="0"/>
    <cacheHierarchy uniqueName="[dataSet__2].[y]" caption="y" attribute="1" defaultMemberUniqueName="[dataSet__2].[y].[All]" allUniqueName="[dataSet__2].[y].[All]" dimensionUniqueName="[dataSet__2]" displayFolder="" count="2" memberValueDatatype="20" unbalanced="0">
      <fieldsUsage count="2">
        <fieldUsage x="-1"/>
        <fieldUsage x="1"/>
      </fieldsUsage>
    </cacheHierarchy>
    <cacheHierarchy uniqueName="[Table1].[ID]" caption="ID" attribute="1" defaultMemberUniqueName="[Table1].[ID].[All]" allUniqueName="[Table1].[ID].[All]" dimensionUniqueName="[Table1]" displayFolder="" count="0" memberValueDatatype="20" unbalanced="0"/>
    <cacheHierarchy uniqueName="[Table1].[class]" caption="class" attribute="1" defaultMemberUniqueName="[Table1].[class].[All]" allUniqueName="[Table1].[clas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race]" caption="race" attribute="1" defaultMemberUniqueName="[Table1].[race].[All]" allUniqueName="[Table1].[race].[All]" dimensionUniqueName="[Table1]" displayFolder="" count="0" memberValueDatatype="20" unbalanced="0"/>
    <cacheHierarchy uniqueName="[Table1].[GPA]" caption="GPA" attribute="1" defaultMemberUniqueName="[Table1].[GPA].[All]" allUniqueName="[Table1].[GPA].[All]" dimensionUniqueName="[Table1]" displayFolder="" count="0" memberValueDatatype="5" unbalanced="0"/>
    <cacheHierarchy uniqueName="[Table1].[Algebra]" caption="Algebra" attribute="1" defaultMemberUniqueName="[Table1].[Algebra].[All]" allUniqueName="[Table1].[Algebra].[All]" dimensionUniqueName="[Table1]" displayFolder="" count="0" memberValueDatatype="20" unbalanced="0"/>
    <cacheHierarchy uniqueName="[Table1].[Calculus1]" caption="Calculus1" attribute="1" defaultMemberUniqueName="[Table1].[Calculus1].[All]" allUniqueName="[Table1].[Calculus1].[All]" dimensionUniqueName="[Table1]" displayFolder="" count="0" memberValueDatatype="20" unbalanced="0"/>
    <cacheHierarchy uniqueName="[Table1].[Calculus2]" caption="Calculus2" attribute="1" defaultMemberUniqueName="[Table1].[Calculus2].[All]" allUniqueName="[Table1].[Calculus2].[All]" dimensionUniqueName="[Table1]" displayFolder="" count="0" memberValueDatatype="20" unbalanced="0"/>
    <cacheHierarchy uniqueName="[Table1].[Statistics]" caption="Statistics" attribute="1" defaultMemberUniqueName="[Table1].[Statistics].[All]" allUniqueName="[Table1].[Statistics].[All]" dimensionUniqueName="[Table1]" displayFolder="" count="0" memberValueDatatype="20" unbalanced="0"/>
    <cacheHierarchy uniqueName="[Table1].[Probability]" caption="Probability" attribute="1" defaultMemberUniqueName="[Table1].[Probability].[All]" allUniqueName="[Table1].[Probability].[All]" dimensionUniqueName="[Table1]" displayFolder="" count="0" memberValueDatatype="5" unbalanced="0"/>
    <cacheHierarchy uniqueName="[Table1].[Measure]" caption="Measure" attribute="1" defaultMemberUniqueName="[Table1].[Measure].[All]" allUniqueName="[Table1].[Measure].[All]" dimensionUniqueName="[Table1]" displayFolder="" count="0" memberValueDatatype="20" unbalanced="0"/>
    <cacheHierarchy uniqueName="[Table1].[Functional_analysis]" caption="Functional_analysis" attribute="1" defaultMemberUniqueName="[Table1].[Functional_analysis].[All]" allUniqueName="[Table1].[Functional_analysis].[All]" dimensionUniqueName="[Table1]" displayFolder="" count="0" memberValueDatatype="20" unbalanced="0"/>
    <cacheHierarchy uniqueName="[Table1].[from1]" caption="from1" attribute="1" defaultMemberUniqueName="[Table1].[from1].[All]" allUniqueName="[Table1].[from1].[All]" dimensionUniqueName="[Table1]" displayFolder="" count="0" memberValueDatatype="130" unbalanced="0"/>
    <cacheHierarchy uniqueName="[Table1].[from2]" caption="from2" attribute="1" defaultMemberUniqueName="[Table1].[from2].[All]" allUniqueName="[Table1].[from2].[All]" dimensionUniqueName="[Table1]" displayFolder="" count="0" memberValueDatatype="130" unbalanced="0"/>
    <cacheHierarchy uniqueName="[Table1].[from3]" caption="from3" attribute="1" defaultMemberUniqueName="[Table1].[from3].[All]" allUniqueName="[Table1].[from3].[All]" dimensionUniqueName="[Table1]" displayFolder="" count="0" memberValueDatatype="130" unbalanced="0"/>
    <cacheHierarchy uniqueName="[Table1].[from4]" caption="from4" attribute="1" defaultMemberUniqueName="[Table1].[from4].[All]" allUniqueName="[Table1].[from4].[All]" dimensionUniqueName="[Table1]" displayFolder="" count="0" memberValueDatatype="20" unbalanced="0"/>
    <cacheHierarchy uniqueName="[Table1].[y]" caption="y" attribute="1" defaultMemberUniqueName="[Table1].[y].[All]" allUniqueName="[Table1].[y].[All]" dimensionUniqueName="[Table1]" displayFolder="" count="0"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hidden="1">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hidden="1">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hidden="1">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hidden="1">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hidden="1">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hidden="1">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hidden="1">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hidden="1">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dimensions count="3">
    <dimension name="dataSet__2" uniqueName="[dataSet__2]" caption="dataSet__2"/>
    <dimension measure="1" name="Measures" uniqueName="[Measures]" caption="Measures"/>
    <dimension name="Table1" uniqueName="[Table1]" caption="Table1"/>
  </dimensions>
  <measureGroups count="2">
    <measureGroup name="dataSet__2" caption="dataSet__2"/>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9934606484" backgroundQuery="1" createdVersion="8" refreshedVersion="8" minRefreshableVersion="3" recordCount="0" supportSubquery="1" supportAdvancedDrill="1" xr:uid="{6AEB2904-8E29-419A-86D1-E8A6BAF9A538}">
  <cacheSource type="external" connectionId="2"/>
  <cacheFields count="3">
    <cacheField name="[Measures].[Average of GPA]" caption="Average of GPA" numFmtId="0" hierarchy="44" level="32767"/>
    <cacheField name="[dataSet__2].[gender].[gender]" caption="gender" numFmtId="0" hierarchy="2" level="1">
      <sharedItems count="2">
        <s v="female"/>
        <s v="male"/>
      </sharedItems>
    </cacheField>
    <cacheField name="[dataSet__2].[class].[class]" caption="class" numFmtId="0" hierarchy="1" level="1">
      <sharedItems containsSemiMixedTypes="0" containsNonDate="0" containsString="0"/>
    </cacheField>
  </cacheFields>
  <cacheHierarchies count="52">
    <cacheHierarchy uniqueName="[dataSet__2].[ID]" caption="ID" attribute="1" defaultMemberUniqueName="[dataSet__2].[ID].[All]" allUniqueName="[dataSet__2].[ID].[All]" dimensionUniqueName="[dataSet__2]" displayFolder="" count="0" memberValueDatatype="20" unbalanced="0"/>
    <cacheHierarchy uniqueName="[dataSet__2].[class]" caption="class" attribute="1" defaultMemberUniqueName="[dataSet__2].[class].[All]" allUniqueName="[dataSet__2].[class].[All]" dimensionUniqueName="[dataSet__2]" displayFolder="" count="2" memberValueDatatype="130" unbalanced="0">
      <fieldsUsage count="2">
        <fieldUsage x="-1"/>
        <fieldUsage x="2"/>
      </fieldsUsage>
    </cacheHierarchy>
    <cacheHierarchy uniqueName="[dataSet__2].[gender]" caption="gender" attribute="1" defaultMemberUniqueName="[dataSet__2].[gender].[All]" allUniqueName="[dataSet__2].[gender].[All]" dimensionUniqueName="[dataSet__2]" displayFolder="" count="2" memberValueDatatype="130" unbalanced="0">
      <fieldsUsage count="2">
        <fieldUsage x="-1"/>
        <fieldUsage x="1"/>
      </fieldsUsage>
    </cacheHierarchy>
    <cacheHierarchy uniqueName="[dataSet__2].[race]" caption="race" attribute="1" defaultMemberUniqueName="[dataSet__2].[race].[All]" allUniqueName="[dataSet__2].[race].[All]" dimensionUniqueName="[dataSet__2]" displayFolder="" count="0" memberValueDatatype="20" unbalanced="0"/>
    <cacheHierarchy uniqueName="[dataSet__2].[GPA]" caption="GPA" attribute="1" defaultMemberUniqueName="[dataSet__2].[GPA].[All]" allUniqueName="[dataSet__2].[GPA].[All]" dimensionUniqueName="[dataSet__2]" displayFolder="" count="0" memberValueDatatype="5" unbalanced="0"/>
    <cacheHierarchy uniqueName="[dataSet__2].[Algebra]" caption="Algebra" attribute="1" defaultMemberUniqueName="[dataSet__2].[Algebra].[All]" allUniqueName="[dataSet__2].[Algebra].[All]" dimensionUniqueName="[dataSet__2]" displayFolder="" count="0" memberValueDatatype="20" unbalanced="0"/>
    <cacheHierarchy uniqueName="[dataSet__2].[Calculus1]" caption="Calculus1" attribute="1" defaultMemberUniqueName="[dataSet__2].[Calculus1].[All]" allUniqueName="[dataSet__2].[Calculus1].[All]" dimensionUniqueName="[dataSet__2]" displayFolder="" count="0" memberValueDatatype="20" unbalanced="0"/>
    <cacheHierarchy uniqueName="[dataSet__2].[Calculus2]" caption="Calculus2" attribute="1" defaultMemberUniqueName="[dataSet__2].[Calculus2].[All]" allUniqueName="[dataSet__2].[Calculus2].[All]" dimensionUniqueName="[dataSet__2]" displayFolder="" count="0" memberValueDatatype="20" unbalanced="0"/>
    <cacheHierarchy uniqueName="[dataSet__2].[Statistics]" caption="Statistics" attribute="1" defaultMemberUniqueName="[dataSet__2].[Statistics].[All]" allUniqueName="[dataSet__2].[Statistics].[All]" dimensionUniqueName="[dataSet__2]" displayFolder="" count="0" memberValueDatatype="20" unbalanced="0"/>
    <cacheHierarchy uniqueName="[dataSet__2].[Probability]" caption="Probability" attribute="1" defaultMemberUniqueName="[dataSet__2].[Probability].[All]" allUniqueName="[dataSet__2].[Probability].[All]" dimensionUniqueName="[dataSet__2]" displayFolder="" count="0" memberValueDatatype="5" unbalanced="0"/>
    <cacheHierarchy uniqueName="[dataSet__2].[Measure]" caption="Measure" attribute="1" defaultMemberUniqueName="[dataSet__2].[Measure].[All]" allUniqueName="[dataSet__2].[Measure].[All]" dimensionUniqueName="[dataSet__2]" displayFolder="" count="0" memberValueDatatype="20" unbalanced="0"/>
    <cacheHierarchy uniqueName="[dataSet__2].[Functional_analysis]" caption="Functional_analysis" attribute="1" defaultMemberUniqueName="[dataSet__2].[Functional_analysis].[All]" allUniqueName="[dataSet__2].[Functional_analysis].[All]" dimensionUniqueName="[dataSet__2]" displayFolder="" count="0" memberValueDatatype="20" unbalanced="0"/>
    <cacheHierarchy uniqueName="[dataSet__2].[from1]" caption="from1" attribute="1" defaultMemberUniqueName="[dataSet__2].[from1].[All]" allUniqueName="[dataSet__2].[from1].[All]" dimensionUniqueName="[dataSet__2]" displayFolder="" count="0" memberValueDatatype="130" unbalanced="0"/>
    <cacheHierarchy uniqueName="[dataSet__2].[from2]" caption="from2" attribute="1" defaultMemberUniqueName="[dataSet__2].[from2].[All]" allUniqueName="[dataSet__2].[from2].[All]" dimensionUniqueName="[dataSet__2]" displayFolder="" count="0" memberValueDatatype="130" unbalanced="0"/>
    <cacheHierarchy uniqueName="[dataSet__2].[from3]" caption="from3" attribute="1" defaultMemberUniqueName="[dataSet__2].[from3].[All]" allUniqueName="[dataSet__2].[from3].[All]" dimensionUniqueName="[dataSet__2]" displayFolder="" count="2" memberValueDatatype="130" unbalanced="0"/>
    <cacheHierarchy uniqueName="[dataSet__2].[y]" caption="y" attribute="1" defaultMemberUniqueName="[dataSet__2].[y].[All]" allUniqueName="[dataSet__2].[y].[All]" dimensionUniqueName="[dataSet__2]"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class]" caption="class" attribute="1" defaultMemberUniqueName="[Table1].[class].[All]" allUniqueName="[Table1].[clas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race]" caption="race" attribute="1" defaultMemberUniqueName="[Table1].[race].[All]" allUniqueName="[Table1].[race].[All]" dimensionUniqueName="[Table1]" displayFolder="" count="0" memberValueDatatype="20" unbalanced="0"/>
    <cacheHierarchy uniqueName="[Table1].[GPA]" caption="GPA" attribute="1" defaultMemberUniqueName="[Table1].[GPA].[All]" allUniqueName="[Table1].[GPA].[All]" dimensionUniqueName="[Table1]" displayFolder="" count="0" memberValueDatatype="5" unbalanced="0"/>
    <cacheHierarchy uniqueName="[Table1].[Algebra]" caption="Algebra" attribute="1" defaultMemberUniqueName="[Table1].[Algebra].[All]" allUniqueName="[Table1].[Algebra].[All]" dimensionUniqueName="[Table1]" displayFolder="" count="0" memberValueDatatype="20" unbalanced="0"/>
    <cacheHierarchy uniqueName="[Table1].[Calculus1]" caption="Calculus1" attribute="1" defaultMemberUniqueName="[Table1].[Calculus1].[All]" allUniqueName="[Table1].[Calculus1].[All]" dimensionUniqueName="[Table1]" displayFolder="" count="0" memberValueDatatype="20" unbalanced="0"/>
    <cacheHierarchy uniqueName="[Table1].[Calculus2]" caption="Calculus2" attribute="1" defaultMemberUniqueName="[Table1].[Calculus2].[All]" allUniqueName="[Table1].[Calculus2].[All]" dimensionUniqueName="[Table1]" displayFolder="" count="0" memberValueDatatype="20" unbalanced="0"/>
    <cacheHierarchy uniqueName="[Table1].[Statistics]" caption="Statistics" attribute="1" defaultMemberUniqueName="[Table1].[Statistics].[All]" allUniqueName="[Table1].[Statistics].[All]" dimensionUniqueName="[Table1]" displayFolder="" count="0" memberValueDatatype="20" unbalanced="0"/>
    <cacheHierarchy uniqueName="[Table1].[Probability]" caption="Probability" attribute="1" defaultMemberUniqueName="[Table1].[Probability].[All]" allUniqueName="[Table1].[Probability].[All]" dimensionUniqueName="[Table1]" displayFolder="" count="0" memberValueDatatype="5" unbalanced="0"/>
    <cacheHierarchy uniqueName="[Table1].[Measure]" caption="Measure" attribute="1" defaultMemberUniqueName="[Table1].[Measure].[All]" allUniqueName="[Table1].[Measure].[All]" dimensionUniqueName="[Table1]" displayFolder="" count="0" memberValueDatatype="20" unbalanced="0"/>
    <cacheHierarchy uniqueName="[Table1].[Functional_analysis]" caption="Functional_analysis" attribute="1" defaultMemberUniqueName="[Table1].[Functional_analysis].[All]" allUniqueName="[Table1].[Functional_analysis].[All]" dimensionUniqueName="[Table1]" displayFolder="" count="0" memberValueDatatype="20" unbalanced="0"/>
    <cacheHierarchy uniqueName="[Table1].[from1]" caption="from1" attribute="1" defaultMemberUniqueName="[Table1].[from1].[All]" allUniqueName="[Table1].[from1].[All]" dimensionUniqueName="[Table1]" displayFolder="" count="0" memberValueDatatype="130" unbalanced="0"/>
    <cacheHierarchy uniqueName="[Table1].[from2]" caption="from2" attribute="1" defaultMemberUniqueName="[Table1].[from2].[All]" allUniqueName="[Table1].[from2].[All]" dimensionUniqueName="[Table1]" displayFolder="" count="0" memberValueDatatype="130" unbalanced="0"/>
    <cacheHierarchy uniqueName="[Table1].[from3]" caption="from3" attribute="1" defaultMemberUniqueName="[Table1].[from3].[All]" allUniqueName="[Table1].[from3].[All]" dimensionUniqueName="[Table1]" displayFolder="" count="0" memberValueDatatype="130" unbalanced="0"/>
    <cacheHierarchy uniqueName="[Table1].[from4]" caption="from4" attribute="1" defaultMemberUniqueName="[Table1].[from4].[All]" allUniqueName="[Table1].[from4].[All]" dimensionUniqueName="[Table1]" displayFolder="" count="0" memberValueDatatype="20" unbalanced="0"/>
    <cacheHierarchy uniqueName="[Table1].[y]" caption="y" attribute="1" defaultMemberUniqueName="[Table1].[y].[All]" allUniqueName="[Table1].[y].[All]" dimensionUniqueName="[Table1]" displayFolder="" count="0"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hidden="1">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hidden="1">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hidden="1">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hidden="1">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hidden="1">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hidden="1">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hidden="1">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dimensions count="3">
    <dimension name="dataSet__2" uniqueName="[dataSet__2]" caption="dataSet__2"/>
    <dimension measure="1" name="Measures" uniqueName="[Measures]" caption="Measures"/>
    <dimension name="Table1" uniqueName="[Table1]" caption="Table1"/>
  </dimensions>
  <measureGroups count="2">
    <measureGroup name="dataSet__2" caption="dataSet__2"/>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9934953707" backgroundQuery="1" createdVersion="8" refreshedVersion="8" minRefreshableVersion="3" recordCount="0" supportSubquery="1" supportAdvancedDrill="1" xr:uid="{3287F564-B196-49AB-9B73-7C64B8BC0B1B}">
  <cacheSource type="external" connectionId="2"/>
  <cacheFields count="3">
    <cacheField name="[dataSet__2].[y].[y]" caption="y" numFmtId="0" hierarchy="15" level="1">
      <sharedItems containsSemiMixedTypes="0" containsString="0" containsNumber="1" containsInteger="1" minValue="0" maxValue="2" count="3">
        <n v="0"/>
        <n v="1"/>
        <n v="2"/>
      </sharedItems>
      <extLst>
        <ext xmlns:x15="http://schemas.microsoft.com/office/spreadsheetml/2010/11/main" uri="{4F2E5C28-24EA-4eb8-9CBF-B6C8F9C3D259}">
          <x15:cachedUniqueNames>
            <x15:cachedUniqueName index="0" name="[dataSet__2].[y].&amp;[0]"/>
            <x15:cachedUniqueName index="1" name="[dataSet__2].[y].&amp;[1]"/>
            <x15:cachedUniqueName index="2" name="[dataSet__2].[y].&amp;[2]"/>
          </x15:cachedUniqueNames>
        </ext>
      </extLst>
    </cacheField>
    <cacheField name="[Measures].[Sum of Functional_analysis]" caption="Sum of Functional_analysis" numFmtId="0" hierarchy="45" level="32767"/>
    <cacheField name="[dataSet__2].[class].[class]" caption="class" numFmtId="0" hierarchy="1" level="1">
      <sharedItems containsSemiMixedTypes="0" containsNonDate="0" containsString="0"/>
    </cacheField>
  </cacheFields>
  <cacheHierarchies count="52">
    <cacheHierarchy uniqueName="[dataSet__2].[ID]" caption="ID" attribute="1" defaultMemberUniqueName="[dataSet__2].[ID].[All]" allUniqueName="[dataSet__2].[ID].[All]" dimensionUniqueName="[dataSet__2]" displayFolder="" count="0" memberValueDatatype="20" unbalanced="0"/>
    <cacheHierarchy uniqueName="[dataSet__2].[class]" caption="class" attribute="1" defaultMemberUniqueName="[dataSet__2].[class].[All]" allUniqueName="[dataSet__2].[class].[All]" dimensionUniqueName="[dataSet__2]" displayFolder="" count="2" memberValueDatatype="130" unbalanced="0">
      <fieldsUsage count="2">
        <fieldUsage x="-1"/>
        <fieldUsage x="2"/>
      </fieldsUsage>
    </cacheHierarchy>
    <cacheHierarchy uniqueName="[dataSet__2].[gender]" caption="gender" attribute="1" defaultMemberUniqueName="[dataSet__2].[gender].[All]" allUniqueName="[dataSet__2].[gender].[All]" dimensionUniqueName="[dataSet__2]" displayFolder="" count="2" memberValueDatatype="130" unbalanced="0"/>
    <cacheHierarchy uniqueName="[dataSet__2].[race]" caption="race" attribute="1" defaultMemberUniqueName="[dataSet__2].[race].[All]" allUniqueName="[dataSet__2].[race].[All]" dimensionUniqueName="[dataSet__2]" displayFolder="" count="0" memberValueDatatype="20" unbalanced="0"/>
    <cacheHierarchy uniqueName="[dataSet__2].[GPA]" caption="GPA" attribute="1" defaultMemberUniqueName="[dataSet__2].[GPA].[All]" allUniqueName="[dataSet__2].[GPA].[All]" dimensionUniqueName="[dataSet__2]" displayFolder="" count="0" memberValueDatatype="5" unbalanced="0"/>
    <cacheHierarchy uniqueName="[dataSet__2].[Algebra]" caption="Algebra" attribute="1" defaultMemberUniqueName="[dataSet__2].[Algebra].[All]" allUniqueName="[dataSet__2].[Algebra].[All]" dimensionUniqueName="[dataSet__2]" displayFolder="" count="0" memberValueDatatype="20" unbalanced="0"/>
    <cacheHierarchy uniqueName="[dataSet__2].[Calculus1]" caption="Calculus1" attribute="1" defaultMemberUniqueName="[dataSet__2].[Calculus1].[All]" allUniqueName="[dataSet__2].[Calculus1].[All]" dimensionUniqueName="[dataSet__2]" displayFolder="" count="0" memberValueDatatype="20" unbalanced="0"/>
    <cacheHierarchy uniqueName="[dataSet__2].[Calculus2]" caption="Calculus2" attribute="1" defaultMemberUniqueName="[dataSet__2].[Calculus2].[All]" allUniqueName="[dataSet__2].[Calculus2].[All]" dimensionUniqueName="[dataSet__2]" displayFolder="" count="0" memberValueDatatype="20" unbalanced="0"/>
    <cacheHierarchy uniqueName="[dataSet__2].[Statistics]" caption="Statistics" attribute="1" defaultMemberUniqueName="[dataSet__2].[Statistics].[All]" allUniqueName="[dataSet__2].[Statistics].[All]" dimensionUniqueName="[dataSet__2]" displayFolder="" count="0" memberValueDatatype="20" unbalanced="0"/>
    <cacheHierarchy uniqueName="[dataSet__2].[Probability]" caption="Probability" attribute="1" defaultMemberUniqueName="[dataSet__2].[Probability].[All]" allUniqueName="[dataSet__2].[Probability].[All]" dimensionUniqueName="[dataSet__2]" displayFolder="" count="0" memberValueDatatype="5" unbalanced="0"/>
    <cacheHierarchy uniqueName="[dataSet__2].[Measure]" caption="Measure" attribute="1" defaultMemberUniqueName="[dataSet__2].[Measure].[All]" allUniqueName="[dataSet__2].[Measure].[All]" dimensionUniqueName="[dataSet__2]" displayFolder="" count="0" memberValueDatatype="20" unbalanced="0"/>
    <cacheHierarchy uniqueName="[dataSet__2].[Functional_analysis]" caption="Functional_analysis" attribute="1" defaultMemberUniqueName="[dataSet__2].[Functional_analysis].[All]" allUniqueName="[dataSet__2].[Functional_analysis].[All]" dimensionUniqueName="[dataSet__2]" displayFolder="" count="0" memberValueDatatype="20" unbalanced="0"/>
    <cacheHierarchy uniqueName="[dataSet__2].[from1]" caption="from1" attribute="1" defaultMemberUniqueName="[dataSet__2].[from1].[All]" allUniqueName="[dataSet__2].[from1].[All]" dimensionUniqueName="[dataSet__2]" displayFolder="" count="0" memberValueDatatype="130" unbalanced="0"/>
    <cacheHierarchy uniqueName="[dataSet__2].[from2]" caption="from2" attribute="1" defaultMemberUniqueName="[dataSet__2].[from2].[All]" allUniqueName="[dataSet__2].[from2].[All]" dimensionUniqueName="[dataSet__2]" displayFolder="" count="0" memberValueDatatype="130" unbalanced="0"/>
    <cacheHierarchy uniqueName="[dataSet__2].[from3]" caption="from3" attribute="1" defaultMemberUniqueName="[dataSet__2].[from3].[All]" allUniqueName="[dataSet__2].[from3].[All]" dimensionUniqueName="[dataSet__2]" displayFolder="" count="2" memberValueDatatype="130" unbalanced="0"/>
    <cacheHierarchy uniqueName="[dataSet__2].[y]" caption="y" attribute="1" defaultMemberUniqueName="[dataSet__2].[y].[All]" allUniqueName="[dataSet__2].[y].[All]" dimensionUniqueName="[dataSet__2]" displayFolder="" count="2" memberValueDatatype="20" unbalanced="0">
      <fieldsUsage count="2">
        <fieldUsage x="-1"/>
        <fieldUsage x="0"/>
      </fieldsUsage>
    </cacheHierarchy>
    <cacheHierarchy uniqueName="[Table1].[ID]" caption="ID" attribute="1" defaultMemberUniqueName="[Table1].[ID].[All]" allUniqueName="[Table1].[ID].[All]" dimensionUniqueName="[Table1]" displayFolder="" count="0" memberValueDatatype="20" unbalanced="0"/>
    <cacheHierarchy uniqueName="[Table1].[class]" caption="class" attribute="1" defaultMemberUniqueName="[Table1].[class].[All]" allUniqueName="[Table1].[clas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race]" caption="race" attribute="1" defaultMemberUniqueName="[Table1].[race].[All]" allUniqueName="[Table1].[race].[All]" dimensionUniqueName="[Table1]" displayFolder="" count="0" memberValueDatatype="20" unbalanced="0"/>
    <cacheHierarchy uniqueName="[Table1].[GPA]" caption="GPA" attribute="1" defaultMemberUniqueName="[Table1].[GPA].[All]" allUniqueName="[Table1].[GPA].[All]" dimensionUniqueName="[Table1]" displayFolder="" count="0" memberValueDatatype="5" unbalanced="0"/>
    <cacheHierarchy uniqueName="[Table1].[Algebra]" caption="Algebra" attribute="1" defaultMemberUniqueName="[Table1].[Algebra].[All]" allUniqueName="[Table1].[Algebra].[All]" dimensionUniqueName="[Table1]" displayFolder="" count="0" memberValueDatatype="20" unbalanced="0"/>
    <cacheHierarchy uniqueName="[Table1].[Calculus1]" caption="Calculus1" attribute="1" defaultMemberUniqueName="[Table1].[Calculus1].[All]" allUniqueName="[Table1].[Calculus1].[All]" dimensionUniqueName="[Table1]" displayFolder="" count="0" memberValueDatatype="20" unbalanced="0"/>
    <cacheHierarchy uniqueName="[Table1].[Calculus2]" caption="Calculus2" attribute="1" defaultMemberUniqueName="[Table1].[Calculus2].[All]" allUniqueName="[Table1].[Calculus2].[All]" dimensionUniqueName="[Table1]" displayFolder="" count="0" memberValueDatatype="20" unbalanced="0"/>
    <cacheHierarchy uniqueName="[Table1].[Statistics]" caption="Statistics" attribute="1" defaultMemberUniqueName="[Table1].[Statistics].[All]" allUniqueName="[Table1].[Statistics].[All]" dimensionUniqueName="[Table1]" displayFolder="" count="0" memberValueDatatype="20" unbalanced="0"/>
    <cacheHierarchy uniqueName="[Table1].[Probability]" caption="Probability" attribute="1" defaultMemberUniqueName="[Table1].[Probability].[All]" allUniqueName="[Table1].[Probability].[All]" dimensionUniqueName="[Table1]" displayFolder="" count="0" memberValueDatatype="5" unbalanced="0"/>
    <cacheHierarchy uniqueName="[Table1].[Measure]" caption="Measure" attribute="1" defaultMemberUniqueName="[Table1].[Measure].[All]" allUniqueName="[Table1].[Measure].[All]" dimensionUniqueName="[Table1]" displayFolder="" count="0" memberValueDatatype="20" unbalanced="0"/>
    <cacheHierarchy uniqueName="[Table1].[Functional_analysis]" caption="Functional_analysis" attribute="1" defaultMemberUniqueName="[Table1].[Functional_analysis].[All]" allUniqueName="[Table1].[Functional_analysis].[All]" dimensionUniqueName="[Table1]" displayFolder="" count="0" memberValueDatatype="20" unbalanced="0"/>
    <cacheHierarchy uniqueName="[Table1].[from1]" caption="from1" attribute="1" defaultMemberUniqueName="[Table1].[from1].[All]" allUniqueName="[Table1].[from1].[All]" dimensionUniqueName="[Table1]" displayFolder="" count="0" memberValueDatatype="130" unbalanced="0"/>
    <cacheHierarchy uniqueName="[Table1].[from2]" caption="from2" attribute="1" defaultMemberUniqueName="[Table1].[from2].[All]" allUniqueName="[Table1].[from2].[All]" dimensionUniqueName="[Table1]" displayFolder="" count="0" memberValueDatatype="130" unbalanced="0"/>
    <cacheHierarchy uniqueName="[Table1].[from3]" caption="from3" attribute="1" defaultMemberUniqueName="[Table1].[from3].[All]" allUniqueName="[Table1].[from3].[All]" dimensionUniqueName="[Table1]" displayFolder="" count="0" memberValueDatatype="130" unbalanced="0"/>
    <cacheHierarchy uniqueName="[Table1].[from4]" caption="from4" attribute="1" defaultMemberUniqueName="[Table1].[from4].[All]" allUniqueName="[Table1].[from4].[All]" dimensionUniqueName="[Table1]" displayFolder="" count="0" memberValueDatatype="20" unbalanced="0"/>
    <cacheHierarchy uniqueName="[Table1].[y]" caption="y" attribute="1" defaultMemberUniqueName="[Table1].[y].[All]" allUniqueName="[Table1].[y].[All]" dimensionUniqueName="[Table1]" displayFolder="" count="0"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hidden="1">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hidden="1">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hidden="1">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hidden="1">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hidden="1">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hidden="1">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hidden="1">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dimensions count="3">
    <dimension name="dataSet__2" uniqueName="[dataSet__2]" caption="dataSet__2"/>
    <dimension measure="1" name="Measures" uniqueName="[Measures]" caption="Measures"/>
    <dimension name="Table1" uniqueName="[Table1]" caption="Table1"/>
  </dimensions>
  <measureGroups count="2">
    <measureGroup name="dataSet__2" caption="dataSet__2"/>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9935300923" backgroundQuery="1" createdVersion="8" refreshedVersion="8" minRefreshableVersion="3" recordCount="0" supportSubquery="1" supportAdvancedDrill="1" xr:uid="{0F425187-4832-4097-BD6E-BCB1AEB91D3C}">
  <cacheSource type="external" connectionId="2"/>
  <cacheFields count="3">
    <cacheField name="[dataSet__2].[y].[y]" caption="y" numFmtId="0" hierarchy="15" level="1">
      <sharedItems containsSemiMixedTypes="0" containsString="0" containsNumber="1" containsInteger="1" minValue="0" maxValue="2" count="3">
        <n v="0"/>
        <n v="1"/>
        <n v="2"/>
      </sharedItems>
      <extLst>
        <ext xmlns:x15="http://schemas.microsoft.com/office/spreadsheetml/2010/11/main" uri="{4F2E5C28-24EA-4eb8-9CBF-B6C8F9C3D259}">
          <x15:cachedUniqueNames>
            <x15:cachedUniqueName index="0" name="[dataSet__2].[y].&amp;[0]"/>
            <x15:cachedUniqueName index="1" name="[dataSet__2].[y].&amp;[1]"/>
            <x15:cachedUniqueName index="2" name="[dataSet__2].[y].&amp;[2]"/>
          </x15:cachedUniqueNames>
        </ext>
      </extLst>
    </cacheField>
    <cacheField name="[Measures].[Sum of Functional_analysis]" caption="Sum of Functional_analysis" numFmtId="0" hierarchy="45" level="32767"/>
    <cacheField name="[dataSet__2].[class].[class]" caption="class" numFmtId="0" hierarchy="1" level="1">
      <sharedItems containsSemiMixedTypes="0" containsNonDate="0" containsString="0"/>
    </cacheField>
  </cacheFields>
  <cacheHierarchies count="52">
    <cacheHierarchy uniqueName="[dataSet__2].[ID]" caption="ID" attribute="1" defaultMemberUniqueName="[dataSet__2].[ID].[All]" allUniqueName="[dataSet__2].[ID].[All]" dimensionUniqueName="[dataSet__2]" displayFolder="" count="0" memberValueDatatype="20" unbalanced="0"/>
    <cacheHierarchy uniqueName="[dataSet__2].[class]" caption="class" attribute="1" defaultMemberUniqueName="[dataSet__2].[class].[All]" allUniqueName="[dataSet__2].[class].[All]" dimensionUniqueName="[dataSet__2]" displayFolder="" count="2" memberValueDatatype="130" unbalanced="0">
      <fieldsUsage count="2">
        <fieldUsage x="-1"/>
        <fieldUsage x="2"/>
      </fieldsUsage>
    </cacheHierarchy>
    <cacheHierarchy uniqueName="[dataSet__2].[gender]" caption="gender" attribute="1" defaultMemberUniqueName="[dataSet__2].[gender].[All]" allUniqueName="[dataSet__2].[gender].[All]" dimensionUniqueName="[dataSet__2]" displayFolder="" count="2" memberValueDatatype="130" unbalanced="0"/>
    <cacheHierarchy uniqueName="[dataSet__2].[race]" caption="race" attribute="1" defaultMemberUniqueName="[dataSet__2].[race].[All]" allUniqueName="[dataSet__2].[race].[All]" dimensionUniqueName="[dataSet__2]" displayFolder="" count="0" memberValueDatatype="20" unbalanced="0"/>
    <cacheHierarchy uniqueName="[dataSet__2].[GPA]" caption="GPA" attribute="1" defaultMemberUniqueName="[dataSet__2].[GPA].[All]" allUniqueName="[dataSet__2].[GPA].[All]" dimensionUniqueName="[dataSet__2]" displayFolder="" count="0" memberValueDatatype="5" unbalanced="0"/>
    <cacheHierarchy uniqueName="[dataSet__2].[Algebra]" caption="Algebra" attribute="1" defaultMemberUniqueName="[dataSet__2].[Algebra].[All]" allUniqueName="[dataSet__2].[Algebra].[All]" dimensionUniqueName="[dataSet__2]" displayFolder="" count="0" memberValueDatatype="20" unbalanced="0"/>
    <cacheHierarchy uniqueName="[dataSet__2].[Calculus1]" caption="Calculus1" attribute="1" defaultMemberUniqueName="[dataSet__2].[Calculus1].[All]" allUniqueName="[dataSet__2].[Calculus1].[All]" dimensionUniqueName="[dataSet__2]" displayFolder="" count="0" memberValueDatatype="20" unbalanced="0"/>
    <cacheHierarchy uniqueName="[dataSet__2].[Calculus2]" caption="Calculus2" attribute="1" defaultMemberUniqueName="[dataSet__2].[Calculus2].[All]" allUniqueName="[dataSet__2].[Calculus2].[All]" dimensionUniqueName="[dataSet__2]" displayFolder="" count="0" memberValueDatatype="20" unbalanced="0"/>
    <cacheHierarchy uniqueName="[dataSet__2].[Statistics]" caption="Statistics" attribute="1" defaultMemberUniqueName="[dataSet__2].[Statistics].[All]" allUniqueName="[dataSet__2].[Statistics].[All]" dimensionUniqueName="[dataSet__2]" displayFolder="" count="0" memberValueDatatype="20" unbalanced="0"/>
    <cacheHierarchy uniqueName="[dataSet__2].[Probability]" caption="Probability" attribute="1" defaultMemberUniqueName="[dataSet__2].[Probability].[All]" allUniqueName="[dataSet__2].[Probability].[All]" dimensionUniqueName="[dataSet__2]" displayFolder="" count="0" memberValueDatatype="5" unbalanced="0"/>
    <cacheHierarchy uniqueName="[dataSet__2].[Measure]" caption="Measure" attribute="1" defaultMemberUniqueName="[dataSet__2].[Measure].[All]" allUniqueName="[dataSet__2].[Measure].[All]" dimensionUniqueName="[dataSet__2]" displayFolder="" count="0" memberValueDatatype="20" unbalanced="0"/>
    <cacheHierarchy uniqueName="[dataSet__2].[Functional_analysis]" caption="Functional_analysis" attribute="1" defaultMemberUniqueName="[dataSet__2].[Functional_analysis].[All]" allUniqueName="[dataSet__2].[Functional_analysis].[All]" dimensionUniqueName="[dataSet__2]" displayFolder="" count="0" memberValueDatatype="20" unbalanced="0"/>
    <cacheHierarchy uniqueName="[dataSet__2].[from1]" caption="from1" attribute="1" defaultMemberUniqueName="[dataSet__2].[from1].[All]" allUniqueName="[dataSet__2].[from1].[All]" dimensionUniqueName="[dataSet__2]" displayFolder="" count="0" memberValueDatatype="130" unbalanced="0"/>
    <cacheHierarchy uniqueName="[dataSet__2].[from2]" caption="from2" attribute="1" defaultMemberUniqueName="[dataSet__2].[from2].[All]" allUniqueName="[dataSet__2].[from2].[All]" dimensionUniqueName="[dataSet__2]" displayFolder="" count="0" memberValueDatatype="130" unbalanced="0"/>
    <cacheHierarchy uniqueName="[dataSet__2].[from3]" caption="from3" attribute="1" defaultMemberUniqueName="[dataSet__2].[from3].[All]" allUniqueName="[dataSet__2].[from3].[All]" dimensionUniqueName="[dataSet__2]" displayFolder="" count="2" memberValueDatatype="130" unbalanced="0"/>
    <cacheHierarchy uniqueName="[dataSet__2].[y]" caption="y" attribute="1" defaultMemberUniqueName="[dataSet__2].[y].[All]" allUniqueName="[dataSet__2].[y].[All]" dimensionUniqueName="[dataSet__2]" displayFolder="" count="2" memberValueDatatype="20" unbalanced="0">
      <fieldsUsage count="2">
        <fieldUsage x="-1"/>
        <fieldUsage x="0"/>
      </fieldsUsage>
    </cacheHierarchy>
    <cacheHierarchy uniqueName="[Table1].[ID]" caption="ID" attribute="1" defaultMemberUniqueName="[Table1].[ID].[All]" allUniqueName="[Table1].[ID].[All]" dimensionUniqueName="[Table1]" displayFolder="" count="0" memberValueDatatype="20" unbalanced="0"/>
    <cacheHierarchy uniqueName="[Table1].[class]" caption="class" attribute="1" defaultMemberUniqueName="[Table1].[class].[All]" allUniqueName="[Table1].[clas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race]" caption="race" attribute="1" defaultMemberUniqueName="[Table1].[race].[All]" allUniqueName="[Table1].[race].[All]" dimensionUniqueName="[Table1]" displayFolder="" count="0" memberValueDatatype="20" unbalanced="0"/>
    <cacheHierarchy uniqueName="[Table1].[GPA]" caption="GPA" attribute="1" defaultMemberUniqueName="[Table1].[GPA].[All]" allUniqueName="[Table1].[GPA].[All]" dimensionUniqueName="[Table1]" displayFolder="" count="0" memberValueDatatype="5" unbalanced="0"/>
    <cacheHierarchy uniqueName="[Table1].[Algebra]" caption="Algebra" attribute="1" defaultMemberUniqueName="[Table1].[Algebra].[All]" allUniqueName="[Table1].[Algebra].[All]" dimensionUniqueName="[Table1]" displayFolder="" count="0" memberValueDatatype="20" unbalanced="0"/>
    <cacheHierarchy uniqueName="[Table1].[Calculus1]" caption="Calculus1" attribute="1" defaultMemberUniqueName="[Table1].[Calculus1].[All]" allUniqueName="[Table1].[Calculus1].[All]" dimensionUniqueName="[Table1]" displayFolder="" count="0" memberValueDatatype="20" unbalanced="0"/>
    <cacheHierarchy uniqueName="[Table1].[Calculus2]" caption="Calculus2" attribute="1" defaultMemberUniqueName="[Table1].[Calculus2].[All]" allUniqueName="[Table1].[Calculus2].[All]" dimensionUniqueName="[Table1]" displayFolder="" count="0" memberValueDatatype="20" unbalanced="0"/>
    <cacheHierarchy uniqueName="[Table1].[Statistics]" caption="Statistics" attribute="1" defaultMemberUniqueName="[Table1].[Statistics].[All]" allUniqueName="[Table1].[Statistics].[All]" dimensionUniqueName="[Table1]" displayFolder="" count="0" memberValueDatatype="20" unbalanced="0"/>
    <cacheHierarchy uniqueName="[Table1].[Probability]" caption="Probability" attribute="1" defaultMemberUniqueName="[Table1].[Probability].[All]" allUniqueName="[Table1].[Probability].[All]" dimensionUniqueName="[Table1]" displayFolder="" count="0" memberValueDatatype="5" unbalanced="0"/>
    <cacheHierarchy uniqueName="[Table1].[Measure]" caption="Measure" attribute="1" defaultMemberUniqueName="[Table1].[Measure].[All]" allUniqueName="[Table1].[Measure].[All]" dimensionUniqueName="[Table1]" displayFolder="" count="0" memberValueDatatype="20" unbalanced="0"/>
    <cacheHierarchy uniqueName="[Table1].[Functional_analysis]" caption="Functional_analysis" attribute="1" defaultMemberUniqueName="[Table1].[Functional_analysis].[All]" allUniqueName="[Table1].[Functional_analysis].[All]" dimensionUniqueName="[Table1]" displayFolder="" count="0" memberValueDatatype="20" unbalanced="0"/>
    <cacheHierarchy uniqueName="[Table1].[from1]" caption="from1" attribute="1" defaultMemberUniqueName="[Table1].[from1].[All]" allUniqueName="[Table1].[from1].[All]" dimensionUniqueName="[Table1]" displayFolder="" count="0" memberValueDatatype="130" unbalanced="0"/>
    <cacheHierarchy uniqueName="[Table1].[from2]" caption="from2" attribute="1" defaultMemberUniqueName="[Table1].[from2].[All]" allUniqueName="[Table1].[from2].[All]" dimensionUniqueName="[Table1]" displayFolder="" count="0" memberValueDatatype="130" unbalanced="0"/>
    <cacheHierarchy uniqueName="[Table1].[from3]" caption="from3" attribute="1" defaultMemberUniqueName="[Table1].[from3].[All]" allUniqueName="[Table1].[from3].[All]" dimensionUniqueName="[Table1]" displayFolder="" count="0" memberValueDatatype="130" unbalanced="0"/>
    <cacheHierarchy uniqueName="[Table1].[from4]" caption="from4" attribute="1" defaultMemberUniqueName="[Table1].[from4].[All]" allUniqueName="[Table1].[from4].[All]" dimensionUniqueName="[Table1]" displayFolder="" count="0" memberValueDatatype="20" unbalanced="0"/>
    <cacheHierarchy uniqueName="[Table1].[y]" caption="y" attribute="1" defaultMemberUniqueName="[Table1].[y].[All]" allUniqueName="[Table1].[y].[All]" dimensionUniqueName="[Table1]" displayFolder="" count="0"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hidden="1">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hidden="1">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hidden="1">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hidden="1">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hidden="1">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hidden="1">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hidden="1">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dimensions count="3">
    <dimension name="dataSet__2" uniqueName="[dataSet__2]" caption="dataSet__2"/>
    <dimension measure="1" name="Measures" uniqueName="[Measures]" caption="Measures"/>
    <dimension name="Table1" uniqueName="[Table1]" caption="Table1"/>
  </dimensions>
  <measureGroups count="2">
    <measureGroup name="dataSet__2" caption="dataSet__2"/>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9935648146" backgroundQuery="1" createdVersion="8" refreshedVersion="8" minRefreshableVersion="3" recordCount="0" supportSubquery="1" supportAdvancedDrill="1" xr:uid="{840AADCE-5C0A-4290-9802-1CA7BEFC1199}">
  <cacheSource type="external" connectionId="2"/>
  <cacheFields count="3">
    <cacheField name="[Measures].[Sum of Statistics]" caption="Sum of Statistics" numFmtId="0" hierarchy="46" level="32767"/>
    <cacheField name="[dataSet__2].[gender].[gender]" caption="gender" numFmtId="0" hierarchy="2" level="1">
      <sharedItems count="2">
        <s v="female"/>
        <s v="male"/>
      </sharedItems>
    </cacheField>
    <cacheField name="[dataSet__2].[class].[class]" caption="class" numFmtId="0" hierarchy="1" level="1">
      <sharedItems count="2">
        <s v="A"/>
        <s v="B"/>
      </sharedItems>
    </cacheField>
  </cacheFields>
  <cacheHierarchies count="52">
    <cacheHierarchy uniqueName="[dataSet__2].[ID]" caption="ID" attribute="1" defaultMemberUniqueName="[dataSet__2].[ID].[All]" allUniqueName="[dataSet__2].[ID].[All]" dimensionUniqueName="[dataSet__2]" displayFolder="" count="0" memberValueDatatype="20" unbalanced="0"/>
    <cacheHierarchy uniqueName="[dataSet__2].[class]" caption="class" attribute="1" defaultMemberUniqueName="[dataSet__2].[class].[All]" allUniqueName="[dataSet__2].[class].[All]" dimensionUniqueName="[dataSet__2]" displayFolder="" count="2" memberValueDatatype="130" unbalanced="0">
      <fieldsUsage count="2">
        <fieldUsage x="-1"/>
        <fieldUsage x="2"/>
      </fieldsUsage>
    </cacheHierarchy>
    <cacheHierarchy uniqueName="[dataSet__2].[gender]" caption="gender" attribute="1" defaultMemberUniqueName="[dataSet__2].[gender].[All]" allUniqueName="[dataSet__2].[gender].[All]" dimensionUniqueName="[dataSet__2]" displayFolder="" count="2" memberValueDatatype="130" unbalanced="0">
      <fieldsUsage count="2">
        <fieldUsage x="-1"/>
        <fieldUsage x="1"/>
      </fieldsUsage>
    </cacheHierarchy>
    <cacheHierarchy uniqueName="[dataSet__2].[race]" caption="race" attribute="1" defaultMemberUniqueName="[dataSet__2].[race].[All]" allUniqueName="[dataSet__2].[race].[All]" dimensionUniqueName="[dataSet__2]" displayFolder="" count="0" memberValueDatatype="20" unbalanced="0"/>
    <cacheHierarchy uniqueName="[dataSet__2].[GPA]" caption="GPA" attribute="1" defaultMemberUniqueName="[dataSet__2].[GPA].[All]" allUniqueName="[dataSet__2].[GPA].[All]" dimensionUniqueName="[dataSet__2]" displayFolder="" count="0" memberValueDatatype="5" unbalanced="0"/>
    <cacheHierarchy uniqueName="[dataSet__2].[Algebra]" caption="Algebra" attribute="1" defaultMemberUniqueName="[dataSet__2].[Algebra].[All]" allUniqueName="[dataSet__2].[Algebra].[All]" dimensionUniqueName="[dataSet__2]" displayFolder="" count="0" memberValueDatatype="20" unbalanced="0"/>
    <cacheHierarchy uniqueName="[dataSet__2].[Calculus1]" caption="Calculus1" attribute="1" defaultMemberUniqueName="[dataSet__2].[Calculus1].[All]" allUniqueName="[dataSet__2].[Calculus1].[All]" dimensionUniqueName="[dataSet__2]" displayFolder="" count="0" memberValueDatatype="20" unbalanced="0"/>
    <cacheHierarchy uniqueName="[dataSet__2].[Calculus2]" caption="Calculus2" attribute="1" defaultMemberUniqueName="[dataSet__2].[Calculus2].[All]" allUniqueName="[dataSet__2].[Calculus2].[All]" dimensionUniqueName="[dataSet__2]" displayFolder="" count="0" memberValueDatatype="20" unbalanced="0"/>
    <cacheHierarchy uniqueName="[dataSet__2].[Statistics]" caption="Statistics" attribute="1" defaultMemberUniqueName="[dataSet__2].[Statistics].[All]" allUniqueName="[dataSet__2].[Statistics].[All]" dimensionUniqueName="[dataSet__2]" displayFolder="" count="0" memberValueDatatype="20" unbalanced="0"/>
    <cacheHierarchy uniqueName="[dataSet__2].[Probability]" caption="Probability" attribute="1" defaultMemberUniqueName="[dataSet__2].[Probability].[All]" allUniqueName="[dataSet__2].[Probability].[All]" dimensionUniqueName="[dataSet__2]" displayFolder="" count="0" memberValueDatatype="5" unbalanced="0"/>
    <cacheHierarchy uniqueName="[dataSet__2].[Measure]" caption="Measure" attribute="1" defaultMemberUniqueName="[dataSet__2].[Measure].[All]" allUniqueName="[dataSet__2].[Measure].[All]" dimensionUniqueName="[dataSet__2]" displayFolder="" count="0" memberValueDatatype="20" unbalanced="0"/>
    <cacheHierarchy uniqueName="[dataSet__2].[Functional_analysis]" caption="Functional_analysis" attribute="1" defaultMemberUniqueName="[dataSet__2].[Functional_analysis].[All]" allUniqueName="[dataSet__2].[Functional_analysis].[All]" dimensionUniqueName="[dataSet__2]" displayFolder="" count="0" memberValueDatatype="20" unbalanced="0"/>
    <cacheHierarchy uniqueName="[dataSet__2].[from1]" caption="from1" attribute="1" defaultMemberUniqueName="[dataSet__2].[from1].[All]" allUniqueName="[dataSet__2].[from1].[All]" dimensionUniqueName="[dataSet__2]" displayFolder="" count="0" memberValueDatatype="130" unbalanced="0"/>
    <cacheHierarchy uniqueName="[dataSet__2].[from2]" caption="from2" attribute="1" defaultMemberUniqueName="[dataSet__2].[from2].[All]" allUniqueName="[dataSet__2].[from2].[All]" dimensionUniqueName="[dataSet__2]" displayFolder="" count="0" memberValueDatatype="130" unbalanced="0"/>
    <cacheHierarchy uniqueName="[dataSet__2].[from3]" caption="from3" attribute="1" defaultMemberUniqueName="[dataSet__2].[from3].[All]" allUniqueName="[dataSet__2].[from3].[All]" dimensionUniqueName="[dataSet__2]" displayFolder="" count="2" memberValueDatatype="130" unbalanced="0"/>
    <cacheHierarchy uniqueName="[dataSet__2].[y]" caption="y" attribute="1" defaultMemberUniqueName="[dataSet__2].[y].[All]" allUniqueName="[dataSet__2].[y].[All]" dimensionUniqueName="[dataSet__2]"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class]" caption="class" attribute="1" defaultMemberUniqueName="[Table1].[class].[All]" allUniqueName="[Table1].[clas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race]" caption="race" attribute="1" defaultMemberUniqueName="[Table1].[race].[All]" allUniqueName="[Table1].[race].[All]" dimensionUniqueName="[Table1]" displayFolder="" count="0" memberValueDatatype="20" unbalanced="0"/>
    <cacheHierarchy uniqueName="[Table1].[GPA]" caption="GPA" attribute="1" defaultMemberUniqueName="[Table1].[GPA].[All]" allUniqueName="[Table1].[GPA].[All]" dimensionUniqueName="[Table1]" displayFolder="" count="0" memberValueDatatype="5" unbalanced="0"/>
    <cacheHierarchy uniqueName="[Table1].[Algebra]" caption="Algebra" attribute="1" defaultMemberUniqueName="[Table1].[Algebra].[All]" allUniqueName="[Table1].[Algebra].[All]" dimensionUniqueName="[Table1]" displayFolder="" count="0" memberValueDatatype="20" unbalanced="0"/>
    <cacheHierarchy uniqueName="[Table1].[Calculus1]" caption="Calculus1" attribute="1" defaultMemberUniqueName="[Table1].[Calculus1].[All]" allUniqueName="[Table1].[Calculus1].[All]" dimensionUniqueName="[Table1]" displayFolder="" count="0" memberValueDatatype="20" unbalanced="0"/>
    <cacheHierarchy uniqueName="[Table1].[Calculus2]" caption="Calculus2" attribute="1" defaultMemberUniqueName="[Table1].[Calculus2].[All]" allUniqueName="[Table1].[Calculus2].[All]" dimensionUniqueName="[Table1]" displayFolder="" count="0" memberValueDatatype="20" unbalanced="0"/>
    <cacheHierarchy uniqueName="[Table1].[Statistics]" caption="Statistics" attribute="1" defaultMemberUniqueName="[Table1].[Statistics].[All]" allUniqueName="[Table1].[Statistics].[All]" dimensionUniqueName="[Table1]" displayFolder="" count="0" memberValueDatatype="20" unbalanced="0"/>
    <cacheHierarchy uniqueName="[Table1].[Probability]" caption="Probability" attribute="1" defaultMemberUniqueName="[Table1].[Probability].[All]" allUniqueName="[Table1].[Probability].[All]" dimensionUniqueName="[Table1]" displayFolder="" count="0" memberValueDatatype="5" unbalanced="0"/>
    <cacheHierarchy uniqueName="[Table1].[Measure]" caption="Measure" attribute="1" defaultMemberUniqueName="[Table1].[Measure].[All]" allUniqueName="[Table1].[Measure].[All]" dimensionUniqueName="[Table1]" displayFolder="" count="0" memberValueDatatype="20" unbalanced="0"/>
    <cacheHierarchy uniqueName="[Table1].[Functional_analysis]" caption="Functional_analysis" attribute="1" defaultMemberUniqueName="[Table1].[Functional_analysis].[All]" allUniqueName="[Table1].[Functional_analysis].[All]" dimensionUniqueName="[Table1]" displayFolder="" count="0" memberValueDatatype="20" unbalanced="0"/>
    <cacheHierarchy uniqueName="[Table1].[from1]" caption="from1" attribute="1" defaultMemberUniqueName="[Table1].[from1].[All]" allUniqueName="[Table1].[from1].[All]" dimensionUniqueName="[Table1]" displayFolder="" count="0" memberValueDatatype="130" unbalanced="0"/>
    <cacheHierarchy uniqueName="[Table1].[from2]" caption="from2" attribute="1" defaultMemberUniqueName="[Table1].[from2].[All]" allUniqueName="[Table1].[from2].[All]" dimensionUniqueName="[Table1]" displayFolder="" count="0" memberValueDatatype="130" unbalanced="0"/>
    <cacheHierarchy uniqueName="[Table1].[from3]" caption="from3" attribute="1" defaultMemberUniqueName="[Table1].[from3].[All]" allUniqueName="[Table1].[from3].[All]" dimensionUniqueName="[Table1]" displayFolder="" count="0" memberValueDatatype="130" unbalanced="0"/>
    <cacheHierarchy uniqueName="[Table1].[from4]" caption="from4" attribute="1" defaultMemberUniqueName="[Table1].[from4].[All]" allUniqueName="[Table1].[from4].[All]" dimensionUniqueName="[Table1]" displayFolder="" count="0" memberValueDatatype="20" unbalanced="0"/>
    <cacheHierarchy uniqueName="[Table1].[y]" caption="y" attribute="1" defaultMemberUniqueName="[Table1].[y].[All]" allUniqueName="[Table1].[y].[All]" dimensionUniqueName="[Table1]" displayFolder="" count="0"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hidden="1">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hidden="1">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hidden="1">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hidden="1">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hidden="1">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hidden="1">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hidden="1">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hidden="1">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dimensions count="3">
    <dimension name="dataSet__2" uniqueName="[dataSet__2]" caption="dataSet__2"/>
    <dimension measure="1" name="Measures" uniqueName="[Measures]" caption="Measures"/>
    <dimension name="Table1" uniqueName="[Table1]" caption="Table1"/>
  </dimensions>
  <measureGroups count="2">
    <measureGroup name="dataSet__2" caption="dataSet__2"/>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9935879631" backgroundQuery="1" createdVersion="8" refreshedVersion="8" minRefreshableVersion="3" recordCount="0" supportSubquery="1" supportAdvancedDrill="1" xr:uid="{22428609-7B3A-49A2-BA1C-BBB5EF06047B}">
  <cacheSource type="external" connectionId="2"/>
  <cacheFields count="2">
    <cacheField name="[Measures].[Count of ID]" caption="Count of ID" numFmtId="0" hierarchy="37" level="32767"/>
    <cacheField name="[dataSet__2].[class].[class]" caption="class" numFmtId="0" hierarchy="1" level="1">
      <sharedItems containsSemiMixedTypes="0" containsNonDate="0" containsString="0"/>
    </cacheField>
  </cacheFields>
  <cacheHierarchies count="52">
    <cacheHierarchy uniqueName="[dataSet__2].[ID]" caption="ID" attribute="1" defaultMemberUniqueName="[dataSet__2].[ID].[All]" allUniqueName="[dataSet__2].[ID].[All]" dimensionUniqueName="[dataSet__2]" displayFolder="" count="0" memberValueDatatype="20" unbalanced="0"/>
    <cacheHierarchy uniqueName="[dataSet__2].[class]" caption="class" attribute="1" defaultMemberUniqueName="[dataSet__2].[class].[All]" allUniqueName="[dataSet__2].[class].[All]" dimensionUniqueName="[dataSet__2]" displayFolder="" count="2" memberValueDatatype="130" unbalanced="0">
      <fieldsUsage count="2">
        <fieldUsage x="-1"/>
        <fieldUsage x="1"/>
      </fieldsUsage>
    </cacheHierarchy>
    <cacheHierarchy uniqueName="[dataSet__2].[gender]" caption="gender" attribute="1" defaultMemberUniqueName="[dataSet__2].[gender].[All]" allUniqueName="[dataSet__2].[gender].[All]" dimensionUniqueName="[dataSet__2]" displayFolder="" count="2" memberValueDatatype="130" unbalanced="0"/>
    <cacheHierarchy uniqueName="[dataSet__2].[race]" caption="race" attribute="1" defaultMemberUniqueName="[dataSet__2].[race].[All]" allUniqueName="[dataSet__2].[race].[All]" dimensionUniqueName="[dataSet__2]" displayFolder="" count="0" memberValueDatatype="20" unbalanced="0"/>
    <cacheHierarchy uniqueName="[dataSet__2].[GPA]" caption="GPA" attribute="1" defaultMemberUniqueName="[dataSet__2].[GPA].[All]" allUniqueName="[dataSet__2].[GPA].[All]" dimensionUniqueName="[dataSet__2]" displayFolder="" count="0" memberValueDatatype="5" unbalanced="0"/>
    <cacheHierarchy uniqueName="[dataSet__2].[Algebra]" caption="Algebra" attribute="1" defaultMemberUniqueName="[dataSet__2].[Algebra].[All]" allUniqueName="[dataSet__2].[Algebra].[All]" dimensionUniqueName="[dataSet__2]" displayFolder="" count="0" memberValueDatatype="20" unbalanced="0"/>
    <cacheHierarchy uniqueName="[dataSet__2].[Calculus1]" caption="Calculus1" attribute="1" defaultMemberUniqueName="[dataSet__2].[Calculus1].[All]" allUniqueName="[dataSet__2].[Calculus1].[All]" dimensionUniqueName="[dataSet__2]" displayFolder="" count="0" memberValueDatatype="20" unbalanced="0"/>
    <cacheHierarchy uniqueName="[dataSet__2].[Calculus2]" caption="Calculus2" attribute="1" defaultMemberUniqueName="[dataSet__2].[Calculus2].[All]" allUniqueName="[dataSet__2].[Calculus2].[All]" dimensionUniqueName="[dataSet__2]" displayFolder="" count="0" memberValueDatatype="20" unbalanced="0"/>
    <cacheHierarchy uniqueName="[dataSet__2].[Statistics]" caption="Statistics" attribute="1" defaultMemberUniqueName="[dataSet__2].[Statistics].[All]" allUniqueName="[dataSet__2].[Statistics].[All]" dimensionUniqueName="[dataSet__2]" displayFolder="" count="0" memberValueDatatype="20" unbalanced="0"/>
    <cacheHierarchy uniqueName="[dataSet__2].[Probability]" caption="Probability" attribute="1" defaultMemberUniqueName="[dataSet__2].[Probability].[All]" allUniqueName="[dataSet__2].[Probability].[All]" dimensionUniqueName="[dataSet__2]" displayFolder="" count="0" memberValueDatatype="5" unbalanced="0"/>
    <cacheHierarchy uniqueName="[dataSet__2].[Measure]" caption="Measure" attribute="1" defaultMemberUniqueName="[dataSet__2].[Measure].[All]" allUniqueName="[dataSet__2].[Measure].[All]" dimensionUniqueName="[dataSet__2]" displayFolder="" count="0" memberValueDatatype="20" unbalanced="0"/>
    <cacheHierarchy uniqueName="[dataSet__2].[Functional_analysis]" caption="Functional_analysis" attribute="1" defaultMemberUniqueName="[dataSet__2].[Functional_analysis].[All]" allUniqueName="[dataSet__2].[Functional_analysis].[All]" dimensionUniqueName="[dataSet__2]" displayFolder="" count="0" memberValueDatatype="20" unbalanced="0"/>
    <cacheHierarchy uniqueName="[dataSet__2].[from1]" caption="from1" attribute="1" defaultMemberUniqueName="[dataSet__2].[from1].[All]" allUniqueName="[dataSet__2].[from1].[All]" dimensionUniqueName="[dataSet__2]" displayFolder="" count="0" memberValueDatatype="130" unbalanced="0"/>
    <cacheHierarchy uniqueName="[dataSet__2].[from2]" caption="from2" attribute="1" defaultMemberUniqueName="[dataSet__2].[from2].[All]" allUniqueName="[dataSet__2].[from2].[All]" dimensionUniqueName="[dataSet__2]" displayFolder="" count="0" memberValueDatatype="130" unbalanced="0"/>
    <cacheHierarchy uniqueName="[dataSet__2].[from3]" caption="from3" attribute="1" defaultMemberUniqueName="[dataSet__2].[from3].[All]" allUniqueName="[dataSet__2].[from3].[All]" dimensionUniqueName="[dataSet__2]" displayFolder="" count="2" memberValueDatatype="130" unbalanced="0"/>
    <cacheHierarchy uniqueName="[dataSet__2].[y]" caption="y" attribute="1" defaultMemberUniqueName="[dataSet__2].[y].[All]" allUniqueName="[dataSet__2].[y].[All]" dimensionUniqueName="[dataSet__2]"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class]" caption="class" attribute="1" defaultMemberUniqueName="[Table1].[class].[All]" allUniqueName="[Table1].[clas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race]" caption="race" attribute="1" defaultMemberUniqueName="[Table1].[race].[All]" allUniqueName="[Table1].[race].[All]" dimensionUniqueName="[Table1]" displayFolder="" count="0" memberValueDatatype="20" unbalanced="0"/>
    <cacheHierarchy uniqueName="[Table1].[GPA]" caption="GPA" attribute="1" defaultMemberUniqueName="[Table1].[GPA].[All]" allUniqueName="[Table1].[GPA].[All]" dimensionUniqueName="[Table1]" displayFolder="" count="0" memberValueDatatype="5" unbalanced="0"/>
    <cacheHierarchy uniqueName="[Table1].[Algebra]" caption="Algebra" attribute="1" defaultMemberUniqueName="[Table1].[Algebra].[All]" allUniqueName="[Table1].[Algebra].[All]" dimensionUniqueName="[Table1]" displayFolder="" count="0" memberValueDatatype="20" unbalanced="0"/>
    <cacheHierarchy uniqueName="[Table1].[Calculus1]" caption="Calculus1" attribute="1" defaultMemberUniqueName="[Table1].[Calculus1].[All]" allUniqueName="[Table1].[Calculus1].[All]" dimensionUniqueName="[Table1]" displayFolder="" count="0" memberValueDatatype="20" unbalanced="0"/>
    <cacheHierarchy uniqueName="[Table1].[Calculus2]" caption="Calculus2" attribute="1" defaultMemberUniqueName="[Table1].[Calculus2].[All]" allUniqueName="[Table1].[Calculus2].[All]" dimensionUniqueName="[Table1]" displayFolder="" count="0" memberValueDatatype="20" unbalanced="0"/>
    <cacheHierarchy uniqueName="[Table1].[Statistics]" caption="Statistics" attribute="1" defaultMemberUniqueName="[Table1].[Statistics].[All]" allUniqueName="[Table1].[Statistics].[All]" dimensionUniqueName="[Table1]" displayFolder="" count="0" memberValueDatatype="20" unbalanced="0"/>
    <cacheHierarchy uniqueName="[Table1].[Probability]" caption="Probability" attribute="1" defaultMemberUniqueName="[Table1].[Probability].[All]" allUniqueName="[Table1].[Probability].[All]" dimensionUniqueName="[Table1]" displayFolder="" count="0" memberValueDatatype="5" unbalanced="0"/>
    <cacheHierarchy uniqueName="[Table1].[Measure]" caption="Measure" attribute="1" defaultMemberUniqueName="[Table1].[Measure].[All]" allUniqueName="[Table1].[Measure].[All]" dimensionUniqueName="[Table1]" displayFolder="" count="0" memberValueDatatype="20" unbalanced="0"/>
    <cacheHierarchy uniqueName="[Table1].[Functional_analysis]" caption="Functional_analysis" attribute="1" defaultMemberUniqueName="[Table1].[Functional_analysis].[All]" allUniqueName="[Table1].[Functional_analysis].[All]" dimensionUniqueName="[Table1]" displayFolder="" count="0" memberValueDatatype="20" unbalanced="0"/>
    <cacheHierarchy uniqueName="[Table1].[from1]" caption="from1" attribute="1" defaultMemberUniqueName="[Table1].[from1].[All]" allUniqueName="[Table1].[from1].[All]" dimensionUniqueName="[Table1]" displayFolder="" count="0" memberValueDatatype="130" unbalanced="0"/>
    <cacheHierarchy uniqueName="[Table1].[from2]" caption="from2" attribute="1" defaultMemberUniqueName="[Table1].[from2].[All]" allUniqueName="[Table1].[from2].[All]" dimensionUniqueName="[Table1]" displayFolder="" count="0" memberValueDatatype="130" unbalanced="0"/>
    <cacheHierarchy uniqueName="[Table1].[from3]" caption="from3" attribute="1" defaultMemberUniqueName="[Table1].[from3].[All]" allUniqueName="[Table1].[from3].[All]" dimensionUniqueName="[Table1]" displayFolder="" count="0" memberValueDatatype="130" unbalanced="0"/>
    <cacheHierarchy uniqueName="[Table1].[from4]" caption="from4" attribute="1" defaultMemberUniqueName="[Table1].[from4].[All]" allUniqueName="[Table1].[from4].[All]" dimensionUniqueName="[Table1]" displayFolder="" count="0" memberValueDatatype="20" unbalanced="0"/>
    <cacheHierarchy uniqueName="[Table1].[y]" caption="y" attribute="1" defaultMemberUniqueName="[Table1].[y].[All]" allUniqueName="[Table1].[y].[All]" dimensionUniqueName="[Table1]" displayFolder="" count="0"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hidden="1">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hidden="1">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hidden="1">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hidden="1">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hidden="1">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hidden="1">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hidden="1">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dimensions count="3">
    <dimension name="dataSet__2" uniqueName="[dataSet__2]" caption="dataSet__2"/>
    <dimension measure="1" name="Measures" uniqueName="[Measures]" caption="Measures"/>
    <dimension name="Table1" uniqueName="[Table1]" caption="Table1"/>
  </dimensions>
  <measureGroups count="2">
    <measureGroup name="dataSet__2" caption="dataSet__2"/>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9936111108" backgroundQuery="1" createdVersion="8" refreshedVersion="8" minRefreshableVersion="3" recordCount="0" supportSubquery="1" supportAdvancedDrill="1" xr:uid="{331B7D7A-24EA-40BD-BB88-6069F37ADC0C}">
  <cacheSource type="external" connectionId="2"/>
  <cacheFields count="2">
    <cacheField name="[Measures].[Average of GPA]" caption="Average of GPA" numFmtId="0" hierarchy="44" level="32767"/>
    <cacheField name="[dataSet__2].[class].[class]" caption="class" numFmtId="0" hierarchy="1" level="1">
      <sharedItems containsSemiMixedTypes="0" containsNonDate="0" containsString="0"/>
    </cacheField>
  </cacheFields>
  <cacheHierarchies count="52">
    <cacheHierarchy uniqueName="[dataSet__2].[ID]" caption="ID" attribute="1" defaultMemberUniqueName="[dataSet__2].[ID].[All]" allUniqueName="[dataSet__2].[ID].[All]" dimensionUniqueName="[dataSet__2]" displayFolder="" count="0" memberValueDatatype="20" unbalanced="0"/>
    <cacheHierarchy uniqueName="[dataSet__2].[class]" caption="class" attribute="1" defaultMemberUniqueName="[dataSet__2].[class].[All]" allUniqueName="[dataSet__2].[class].[All]" dimensionUniqueName="[dataSet__2]" displayFolder="" count="2" memberValueDatatype="130" unbalanced="0">
      <fieldsUsage count="2">
        <fieldUsage x="-1"/>
        <fieldUsage x="1"/>
      </fieldsUsage>
    </cacheHierarchy>
    <cacheHierarchy uniqueName="[dataSet__2].[gender]" caption="gender" attribute="1" defaultMemberUniqueName="[dataSet__2].[gender].[All]" allUniqueName="[dataSet__2].[gender].[All]" dimensionUniqueName="[dataSet__2]" displayFolder="" count="2" memberValueDatatype="130" unbalanced="0"/>
    <cacheHierarchy uniqueName="[dataSet__2].[race]" caption="race" attribute="1" defaultMemberUniqueName="[dataSet__2].[race].[All]" allUniqueName="[dataSet__2].[race].[All]" dimensionUniqueName="[dataSet__2]" displayFolder="" count="0" memberValueDatatype="20" unbalanced="0"/>
    <cacheHierarchy uniqueName="[dataSet__2].[GPA]" caption="GPA" attribute="1" defaultMemberUniqueName="[dataSet__2].[GPA].[All]" allUniqueName="[dataSet__2].[GPA].[All]" dimensionUniqueName="[dataSet__2]" displayFolder="" count="0" memberValueDatatype="5" unbalanced="0"/>
    <cacheHierarchy uniqueName="[dataSet__2].[Algebra]" caption="Algebra" attribute="1" defaultMemberUniqueName="[dataSet__2].[Algebra].[All]" allUniqueName="[dataSet__2].[Algebra].[All]" dimensionUniqueName="[dataSet__2]" displayFolder="" count="0" memberValueDatatype="20" unbalanced="0"/>
    <cacheHierarchy uniqueName="[dataSet__2].[Calculus1]" caption="Calculus1" attribute="1" defaultMemberUniqueName="[dataSet__2].[Calculus1].[All]" allUniqueName="[dataSet__2].[Calculus1].[All]" dimensionUniqueName="[dataSet__2]" displayFolder="" count="0" memberValueDatatype="20" unbalanced="0"/>
    <cacheHierarchy uniqueName="[dataSet__2].[Calculus2]" caption="Calculus2" attribute="1" defaultMemberUniqueName="[dataSet__2].[Calculus2].[All]" allUniqueName="[dataSet__2].[Calculus2].[All]" dimensionUniqueName="[dataSet__2]" displayFolder="" count="0" memberValueDatatype="20" unbalanced="0"/>
    <cacheHierarchy uniqueName="[dataSet__2].[Statistics]" caption="Statistics" attribute="1" defaultMemberUniqueName="[dataSet__2].[Statistics].[All]" allUniqueName="[dataSet__2].[Statistics].[All]" dimensionUniqueName="[dataSet__2]" displayFolder="" count="0" memberValueDatatype="20" unbalanced="0"/>
    <cacheHierarchy uniqueName="[dataSet__2].[Probability]" caption="Probability" attribute="1" defaultMemberUniqueName="[dataSet__2].[Probability].[All]" allUniqueName="[dataSet__2].[Probability].[All]" dimensionUniqueName="[dataSet__2]" displayFolder="" count="0" memberValueDatatype="5" unbalanced="0"/>
    <cacheHierarchy uniqueName="[dataSet__2].[Measure]" caption="Measure" attribute="1" defaultMemberUniqueName="[dataSet__2].[Measure].[All]" allUniqueName="[dataSet__2].[Measure].[All]" dimensionUniqueName="[dataSet__2]" displayFolder="" count="0" memberValueDatatype="20" unbalanced="0"/>
    <cacheHierarchy uniqueName="[dataSet__2].[Functional_analysis]" caption="Functional_analysis" attribute="1" defaultMemberUniqueName="[dataSet__2].[Functional_analysis].[All]" allUniqueName="[dataSet__2].[Functional_analysis].[All]" dimensionUniqueName="[dataSet__2]" displayFolder="" count="0" memberValueDatatype="20" unbalanced="0"/>
    <cacheHierarchy uniqueName="[dataSet__2].[from1]" caption="from1" attribute="1" defaultMemberUniqueName="[dataSet__2].[from1].[All]" allUniqueName="[dataSet__2].[from1].[All]" dimensionUniqueName="[dataSet__2]" displayFolder="" count="0" memberValueDatatype="130" unbalanced="0"/>
    <cacheHierarchy uniqueName="[dataSet__2].[from2]" caption="from2" attribute="1" defaultMemberUniqueName="[dataSet__2].[from2].[All]" allUniqueName="[dataSet__2].[from2].[All]" dimensionUniqueName="[dataSet__2]" displayFolder="" count="0" memberValueDatatype="130" unbalanced="0"/>
    <cacheHierarchy uniqueName="[dataSet__2].[from3]" caption="from3" attribute="1" defaultMemberUniqueName="[dataSet__2].[from3].[All]" allUniqueName="[dataSet__2].[from3].[All]" dimensionUniqueName="[dataSet__2]" displayFolder="" count="2" memberValueDatatype="130" unbalanced="0"/>
    <cacheHierarchy uniqueName="[dataSet__2].[y]" caption="y" attribute="1" defaultMemberUniqueName="[dataSet__2].[y].[All]" allUniqueName="[dataSet__2].[y].[All]" dimensionUniqueName="[dataSet__2]"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class]" caption="class" attribute="1" defaultMemberUniqueName="[Table1].[class].[All]" allUniqueName="[Table1].[clas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race]" caption="race" attribute="1" defaultMemberUniqueName="[Table1].[race].[All]" allUniqueName="[Table1].[race].[All]" dimensionUniqueName="[Table1]" displayFolder="" count="0" memberValueDatatype="20" unbalanced="0"/>
    <cacheHierarchy uniqueName="[Table1].[GPA]" caption="GPA" attribute="1" defaultMemberUniqueName="[Table1].[GPA].[All]" allUniqueName="[Table1].[GPA].[All]" dimensionUniqueName="[Table1]" displayFolder="" count="0" memberValueDatatype="5" unbalanced="0"/>
    <cacheHierarchy uniqueName="[Table1].[Algebra]" caption="Algebra" attribute="1" defaultMemberUniqueName="[Table1].[Algebra].[All]" allUniqueName="[Table1].[Algebra].[All]" dimensionUniqueName="[Table1]" displayFolder="" count="0" memberValueDatatype="20" unbalanced="0"/>
    <cacheHierarchy uniqueName="[Table1].[Calculus1]" caption="Calculus1" attribute="1" defaultMemberUniqueName="[Table1].[Calculus1].[All]" allUniqueName="[Table1].[Calculus1].[All]" dimensionUniqueName="[Table1]" displayFolder="" count="0" memberValueDatatype="20" unbalanced="0"/>
    <cacheHierarchy uniqueName="[Table1].[Calculus2]" caption="Calculus2" attribute="1" defaultMemberUniqueName="[Table1].[Calculus2].[All]" allUniqueName="[Table1].[Calculus2].[All]" dimensionUniqueName="[Table1]" displayFolder="" count="0" memberValueDatatype="20" unbalanced="0"/>
    <cacheHierarchy uniqueName="[Table1].[Statistics]" caption="Statistics" attribute="1" defaultMemberUniqueName="[Table1].[Statistics].[All]" allUniqueName="[Table1].[Statistics].[All]" dimensionUniqueName="[Table1]" displayFolder="" count="0" memberValueDatatype="20" unbalanced="0"/>
    <cacheHierarchy uniqueName="[Table1].[Probability]" caption="Probability" attribute="1" defaultMemberUniqueName="[Table1].[Probability].[All]" allUniqueName="[Table1].[Probability].[All]" dimensionUniqueName="[Table1]" displayFolder="" count="0" memberValueDatatype="5" unbalanced="0"/>
    <cacheHierarchy uniqueName="[Table1].[Measure]" caption="Measure" attribute="1" defaultMemberUniqueName="[Table1].[Measure].[All]" allUniqueName="[Table1].[Measure].[All]" dimensionUniqueName="[Table1]" displayFolder="" count="0" memberValueDatatype="20" unbalanced="0"/>
    <cacheHierarchy uniqueName="[Table1].[Functional_analysis]" caption="Functional_analysis" attribute="1" defaultMemberUniqueName="[Table1].[Functional_analysis].[All]" allUniqueName="[Table1].[Functional_analysis].[All]" dimensionUniqueName="[Table1]" displayFolder="" count="0" memberValueDatatype="20" unbalanced="0"/>
    <cacheHierarchy uniqueName="[Table1].[from1]" caption="from1" attribute="1" defaultMemberUniqueName="[Table1].[from1].[All]" allUniqueName="[Table1].[from1].[All]" dimensionUniqueName="[Table1]" displayFolder="" count="0" memberValueDatatype="130" unbalanced="0"/>
    <cacheHierarchy uniqueName="[Table1].[from2]" caption="from2" attribute="1" defaultMemberUniqueName="[Table1].[from2].[All]" allUniqueName="[Table1].[from2].[All]" dimensionUniqueName="[Table1]" displayFolder="" count="0" memberValueDatatype="130" unbalanced="0"/>
    <cacheHierarchy uniqueName="[Table1].[from3]" caption="from3" attribute="1" defaultMemberUniqueName="[Table1].[from3].[All]" allUniqueName="[Table1].[from3].[All]" dimensionUniqueName="[Table1]" displayFolder="" count="0" memberValueDatatype="130" unbalanced="0"/>
    <cacheHierarchy uniqueName="[Table1].[from4]" caption="from4" attribute="1" defaultMemberUniqueName="[Table1].[from4].[All]" allUniqueName="[Table1].[from4].[All]" dimensionUniqueName="[Table1]" displayFolder="" count="0" memberValueDatatype="20" unbalanced="0"/>
    <cacheHierarchy uniqueName="[Table1].[y]" caption="y" attribute="1" defaultMemberUniqueName="[Table1].[y].[All]" allUniqueName="[Table1].[y].[All]" dimensionUniqueName="[Table1]" displayFolder="" count="0"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hidden="1">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hidden="1">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hidden="1">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hidden="1">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hidden="1">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hidden="1">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hidden="1">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dimensions count="3">
    <dimension name="dataSet__2" uniqueName="[dataSet__2]" caption="dataSet__2"/>
    <dimension measure="1" name="Measures" uniqueName="[Measures]" caption="Measures"/>
    <dimension name="Table1" uniqueName="[Table1]" caption="Table1"/>
  </dimensions>
  <measureGroups count="2">
    <measureGroup name="dataSet__2" caption="dataSet__2"/>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9936226854" backgroundQuery="1" createdVersion="8" refreshedVersion="8" minRefreshableVersion="3" recordCount="0" supportSubquery="1" supportAdvancedDrill="1" xr:uid="{09E57069-D6FA-4898-8385-9D81B586F564}">
  <cacheSource type="external" connectionId="2"/>
  <cacheFields count="2">
    <cacheField name="[Measures].[Average of Probability]" caption="Average of Probability" numFmtId="0" hierarchy="47" level="32767"/>
    <cacheField name="[dataSet__2].[class].[class]" caption="class" numFmtId="0" hierarchy="1" level="1">
      <sharedItems containsSemiMixedTypes="0" containsNonDate="0" containsString="0"/>
    </cacheField>
  </cacheFields>
  <cacheHierarchies count="52">
    <cacheHierarchy uniqueName="[dataSet__2].[ID]" caption="ID" attribute="1" defaultMemberUniqueName="[dataSet__2].[ID].[All]" allUniqueName="[dataSet__2].[ID].[All]" dimensionUniqueName="[dataSet__2]" displayFolder="" count="0" memberValueDatatype="20" unbalanced="0"/>
    <cacheHierarchy uniqueName="[dataSet__2].[class]" caption="class" attribute="1" defaultMemberUniqueName="[dataSet__2].[class].[All]" allUniqueName="[dataSet__2].[class].[All]" dimensionUniqueName="[dataSet__2]" displayFolder="" count="2" memberValueDatatype="130" unbalanced="0">
      <fieldsUsage count="2">
        <fieldUsage x="-1"/>
        <fieldUsage x="1"/>
      </fieldsUsage>
    </cacheHierarchy>
    <cacheHierarchy uniqueName="[dataSet__2].[gender]" caption="gender" attribute="1" defaultMemberUniqueName="[dataSet__2].[gender].[All]" allUniqueName="[dataSet__2].[gender].[All]" dimensionUniqueName="[dataSet__2]" displayFolder="" count="2" memberValueDatatype="130" unbalanced="0"/>
    <cacheHierarchy uniqueName="[dataSet__2].[race]" caption="race" attribute="1" defaultMemberUniqueName="[dataSet__2].[race].[All]" allUniqueName="[dataSet__2].[race].[All]" dimensionUniqueName="[dataSet__2]" displayFolder="" count="0" memberValueDatatype="20" unbalanced="0"/>
    <cacheHierarchy uniqueName="[dataSet__2].[GPA]" caption="GPA" attribute="1" defaultMemberUniqueName="[dataSet__2].[GPA].[All]" allUniqueName="[dataSet__2].[GPA].[All]" dimensionUniqueName="[dataSet__2]" displayFolder="" count="0" memberValueDatatype="5" unbalanced="0"/>
    <cacheHierarchy uniqueName="[dataSet__2].[Algebra]" caption="Algebra" attribute="1" defaultMemberUniqueName="[dataSet__2].[Algebra].[All]" allUniqueName="[dataSet__2].[Algebra].[All]" dimensionUniqueName="[dataSet__2]" displayFolder="" count="0" memberValueDatatype="20" unbalanced="0"/>
    <cacheHierarchy uniqueName="[dataSet__2].[Calculus1]" caption="Calculus1" attribute="1" defaultMemberUniqueName="[dataSet__2].[Calculus1].[All]" allUniqueName="[dataSet__2].[Calculus1].[All]" dimensionUniqueName="[dataSet__2]" displayFolder="" count="0" memberValueDatatype="20" unbalanced="0"/>
    <cacheHierarchy uniqueName="[dataSet__2].[Calculus2]" caption="Calculus2" attribute="1" defaultMemberUniqueName="[dataSet__2].[Calculus2].[All]" allUniqueName="[dataSet__2].[Calculus2].[All]" dimensionUniqueName="[dataSet__2]" displayFolder="" count="0" memberValueDatatype="20" unbalanced="0"/>
    <cacheHierarchy uniqueName="[dataSet__2].[Statistics]" caption="Statistics" attribute="1" defaultMemberUniqueName="[dataSet__2].[Statistics].[All]" allUniqueName="[dataSet__2].[Statistics].[All]" dimensionUniqueName="[dataSet__2]" displayFolder="" count="0" memberValueDatatype="20" unbalanced="0"/>
    <cacheHierarchy uniqueName="[dataSet__2].[Probability]" caption="Probability" attribute="1" defaultMemberUniqueName="[dataSet__2].[Probability].[All]" allUniqueName="[dataSet__2].[Probability].[All]" dimensionUniqueName="[dataSet__2]" displayFolder="" count="0" memberValueDatatype="5" unbalanced="0"/>
    <cacheHierarchy uniqueName="[dataSet__2].[Measure]" caption="Measure" attribute="1" defaultMemberUniqueName="[dataSet__2].[Measure].[All]" allUniqueName="[dataSet__2].[Measure].[All]" dimensionUniqueName="[dataSet__2]" displayFolder="" count="0" memberValueDatatype="20" unbalanced="0"/>
    <cacheHierarchy uniqueName="[dataSet__2].[Functional_analysis]" caption="Functional_analysis" attribute="1" defaultMemberUniqueName="[dataSet__2].[Functional_analysis].[All]" allUniqueName="[dataSet__2].[Functional_analysis].[All]" dimensionUniqueName="[dataSet__2]" displayFolder="" count="0" memberValueDatatype="20" unbalanced="0"/>
    <cacheHierarchy uniqueName="[dataSet__2].[from1]" caption="from1" attribute="1" defaultMemberUniqueName="[dataSet__2].[from1].[All]" allUniqueName="[dataSet__2].[from1].[All]" dimensionUniqueName="[dataSet__2]" displayFolder="" count="0" memberValueDatatype="130" unbalanced="0"/>
    <cacheHierarchy uniqueName="[dataSet__2].[from2]" caption="from2" attribute="1" defaultMemberUniqueName="[dataSet__2].[from2].[All]" allUniqueName="[dataSet__2].[from2].[All]" dimensionUniqueName="[dataSet__2]" displayFolder="" count="0" memberValueDatatype="130" unbalanced="0"/>
    <cacheHierarchy uniqueName="[dataSet__2].[from3]" caption="from3" attribute="1" defaultMemberUniqueName="[dataSet__2].[from3].[All]" allUniqueName="[dataSet__2].[from3].[All]" dimensionUniqueName="[dataSet__2]" displayFolder="" count="2" memberValueDatatype="130" unbalanced="0"/>
    <cacheHierarchy uniqueName="[dataSet__2].[y]" caption="y" attribute="1" defaultMemberUniqueName="[dataSet__2].[y].[All]" allUniqueName="[dataSet__2].[y].[All]" dimensionUniqueName="[dataSet__2]"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class]" caption="class" attribute="1" defaultMemberUniqueName="[Table1].[class].[All]" allUniqueName="[Table1].[clas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race]" caption="race" attribute="1" defaultMemberUniqueName="[Table1].[race].[All]" allUniqueName="[Table1].[race].[All]" dimensionUniqueName="[Table1]" displayFolder="" count="0" memberValueDatatype="20" unbalanced="0"/>
    <cacheHierarchy uniqueName="[Table1].[GPA]" caption="GPA" attribute="1" defaultMemberUniqueName="[Table1].[GPA].[All]" allUniqueName="[Table1].[GPA].[All]" dimensionUniqueName="[Table1]" displayFolder="" count="0" memberValueDatatype="5" unbalanced="0"/>
    <cacheHierarchy uniqueName="[Table1].[Algebra]" caption="Algebra" attribute="1" defaultMemberUniqueName="[Table1].[Algebra].[All]" allUniqueName="[Table1].[Algebra].[All]" dimensionUniqueName="[Table1]" displayFolder="" count="0" memberValueDatatype="20" unbalanced="0"/>
    <cacheHierarchy uniqueName="[Table1].[Calculus1]" caption="Calculus1" attribute="1" defaultMemberUniqueName="[Table1].[Calculus1].[All]" allUniqueName="[Table1].[Calculus1].[All]" dimensionUniqueName="[Table1]" displayFolder="" count="0" memberValueDatatype="20" unbalanced="0"/>
    <cacheHierarchy uniqueName="[Table1].[Calculus2]" caption="Calculus2" attribute="1" defaultMemberUniqueName="[Table1].[Calculus2].[All]" allUniqueName="[Table1].[Calculus2].[All]" dimensionUniqueName="[Table1]" displayFolder="" count="0" memberValueDatatype="20" unbalanced="0"/>
    <cacheHierarchy uniqueName="[Table1].[Statistics]" caption="Statistics" attribute="1" defaultMemberUniqueName="[Table1].[Statistics].[All]" allUniqueName="[Table1].[Statistics].[All]" dimensionUniqueName="[Table1]" displayFolder="" count="0" memberValueDatatype="20" unbalanced="0"/>
    <cacheHierarchy uniqueName="[Table1].[Probability]" caption="Probability" attribute="1" defaultMemberUniqueName="[Table1].[Probability].[All]" allUniqueName="[Table1].[Probability].[All]" dimensionUniqueName="[Table1]" displayFolder="" count="0" memberValueDatatype="5" unbalanced="0"/>
    <cacheHierarchy uniqueName="[Table1].[Measure]" caption="Measure" attribute="1" defaultMemberUniqueName="[Table1].[Measure].[All]" allUniqueName="[Table1].[Measure].[All]" dimensionUniqueName="[Table1]" displayFolder="" count="0" memberValueDatatype="20" unbalanced="0"/>
    <cacheHierarchy uniqueName="[Table1].[Functional_analysis]" caption="Functional_analysis" attribute="1" defaultMemberUniqueName="[Table1].[Functional_analysis].[All]" allUniqueName="[Table1].[Functional_analysis].[All]" dimensionUniqueName="[Table1]" displayFolder="" count="0" memberValueDatatype="20" unbalanced="0"/>
    <cacheHierarchy uniqueName="[Table1].[from1]" caption="from1" attribute="1" defaultMemberUniqueName="[Table1].[from1].[All]" allUniqueName="[Table1].[from1].[All]" dimensionUniqueName="[Table1]" displayFolder="" count="0" memberValueDatatype="130" unbalanced="0"/>
    <cacheHierarchy uniqueName="[Table1].[from2]" caption="from2" attribute="1" defaultMemberUniqueName="[Table1].[from2].[All]" allUniqueName="[Table1].[from2].[All]" dimensionUniqueName="[Table1]" displayFolder="" count="0" memberValueDatatype="130" unbalanced="0"/>
    <cacheHierarchy uniqueName="[Table1].[from3]" caption="from3" attribute="1" defaultMemberUniqueName="[Table1].[from3].[All]" allUniqueName="[Table1].[from3].[All]" dimensionUniqueName="[Table1]" displayFolder="" count="0" memberValueDatatype="130" unbalanced="0"/>
    <cacheHierarchy uniqueName="[Table1].[from4]" caption="from4" attribute="1" defaultMemberUniqueName="[Table1].[from4].[All]" allUniqueName="[Table1].[from4].[All]" dimensionUniqueName="[Table1]" displayFolder="" count="0" memberValueDatatype="20" unbalanced="0"/>
    <cacheHierarchy uniqueName="[Table1].[y]" caption="y" attribute="1" defaultMemberUniqueName="[Table1].[y].[All]" allUniqueName="[Table1].[y].[All]" dimensionUniqueName="[Table1]" displayFolder="" count="0"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hidden="1">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hidden="1">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hidden="1">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hidden="1">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hidden="1">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hidden="1">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hidden="1">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hidden="1">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dimensions count="3">
    <dimension name="dataSet__2" uniqueName="[dataSet__2]" caption="dataSet__2"/>
    <dimension measure="1" name="Measures" uniqueName="[Measures]" caption="Measures"/>
    <dimension name="Table1" uniqueName="[Table1]" caption="Table1"/>
  </dimensions>
  <measureGroups count="2">
    <measureGroup name="dataSet__2" caption="dataSet__2"/>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9936458331" backgroundQuery="1" createdVersion="8" refreshedVersion="8" minRefreshableVersion="3" recordCount="0" supportSubquery="1" supportAdvancedDrill="1" xr:uid="{6074B4DB-561B-4EE2-9B95-58A8D2E5DD2F}">
  <cacheSource type="external" connectionId="2"/>
  <cacheFields count="2">
    <cacheField name="[Measures].[Sum of Measure]" caption="Sum of Measure" numFmtId="0" hierarchy="48" level="32767"/>
    <cacheField name="[dataSet__2].[class].[class]" caption="class" numFmtId="0" hierarchy="1" level="1">
      <sharedItems containsSemiMixedTypes="0" containsNonDate="0" containsString="0"/>
    </cacheField>
  </cacheFields>
  <cacheHierarchies count="52">
    <cacheHierarchy uniqueName="[dataSet__2].[ID]" caption="ID" attribute="1" defaultMemberUniqueName="[dataSet__2].[ID].[All]" allUniqueName="[dataSet__2].[ID].[All]" dimensionUniqueName="[dataSet__2]" displayFolder="" count="0" memberValueDatatype="20" unbalanced="0"/>
    <cacheHierarchy uniqueName="[dataSet__2].[class]" caption="class" attribute="1" defaultMemberUniqueName="[dataSet__2].[class].[All]" allUniqueName="[dataSet__2].[class].[All]" dimensionUniqueName="[dataSet__2]" displayFolder="" count="2" memberValueDatatype="130" unbalanced="0">
      <fieldsUsage count="2">
        <fieldUsage x="-1"/>
        <fieldUsage x="1"/>
      </fieldsUsage>
    </cacheHierarchy>
    <cacheHierarchy uniqueName="[dataSet__2].[gender]" caption="gender" attribute="1" defaultMemberUniqueName="[dataSet__2].[gender].[All]" allUniqueName="[dataSet__2].[gender].[All]" dimensionUniqueName="[dataSet__2]" displayFolder="" count="2" memberValueDatatype="130" unbalanced="0"/>
    <cacheHierarchy uniqueName="[dataSet__2].[race]" caption="race" attribute="1" defaultMemberUniqueName="[dataSet__2].[race].[All]" allUniqueName="[dataSet__2].[race].[All]" dimensionUniqueName="[dataSet__2]" displayFolder="" count="0" memberValueDatatype="20" unbalanced="0"/>
    <cacheHierarchy uniqueName="[dataSet__2].[GPA]" caption="GPA" attribute="1" defaultMemberUniqueName="[dataSet__2].[GPA].[All]" allUniqueName="[dataSet__2].[GPA].[All]" dimensionUniqueName="[dataSet__2]" displayFolder="" count="0" memberValueDatatype="5" unbalanced="0"/>
    <cacheHierarchy uniqueName="[dataSet__2].[Algebra]" caption="Algebra" attribute="1" defaultMemberUniqueName="[dataSet__2].[Algebra].[All]" allUniqueName="[dataSet__2].[Algebra].[All]" dimensionUniqueName="[dataSet__2]" displayFolder="" count="0" memberValueDatatype="20" unbalanced="0"/>
    <cacheHierarchy uniqueName="[dataSet__2].[Calculus1]" caption="Calculus1" attribute="1" defaultMemberUniqueName="[dataSet__2].[Calculus1].[All]" allUniqueName="[dataSet__2].[Calculus1].[All]" dimensionUniqueName="[dataSet__2]" displayFolder="" count="0" memberValueDatatype="20" unbalanced="0"/>
    <cacheHierarchy uniqueName="[dataSet__2].[Calculus2]" caption="Calculus2" attribute="1" defaultMemberUniqueName="[dataSet__2].[Calculus2].[All]" allUniqueName="[dataSet__2].[Calculus2].[All]" dimensionUniqueName="[dataSet__2]" displayFolder="" count="0" memberValueDatatype="20" unbalanced="0"/>
    <cacheHierarchy uniqueName="[dataSet__2].[Statistics]" caption="Statistics" attribute="1" defaultMemberUniqueName="[dataSet__2].[Statistics].[All]" allUniqueName="[dataSet__2].[Statistics].[All]" dimensionUniqueName="[dataSet__2]" displayFolder="" count="0" memberValueDatatype="20" unbalanced="0"/>
    <cacheHierarchy uniqueName="[dataSet__2].[Probability]" caption="Probability" attribute="1" defaultMemberUniqueName="[dataSet__2].[Probability].[All]" allUniqueName="[dataSet__2].[Probability].[All]" dimensionUniqueName="[dataSet__2]" displayFolder="" count="0" memberValueDatatype="5" unbalanced="0"/>
    <cacheHierarchy uniqueName="[dataSet__2].[Measure]" caption="Measure" attribute="1" defaultMemberUniqueName="[dataSet__2].[Measure].[All]" allUniqueName="[dataSet__2].[Measure].[All]" dimensionUniqueName="[dataSet__2]" displayFolder="" count="0" memberValueDatatype="20" unbalanced="0"/>
    <cacheHierarchy uniqueName="[dataSet__2].[Functional_analysis]" caption="Functional_analysis" attribute="1" defaultMemberUniqueName="[dataSet__2].[Functional_analysis].[All]" allUniqueName="[dataSet__2].[Functional_analysis].[All]" dimensionUniqueName="[dataSet__2]" displayFolder="" count="0" memberValueDatatype="20" unbalanced="0"/>
    <cacheHierarchy uniqueName="[dataSet__2].[from1]" caption="from1" attribute="1" defaultMemberUniqueName="[dataSet__2].[from1].[All]" allUniqueName="[dataSet__2].[from1].[All]" dimensionUniqueName="[dataSet__2]" displayFolder="" count="0" memberValueDatatype="130" unbalanced="0"/>
    <cacheHierarchy uniqueName="[dataSet__2].[from2]" caption="from2" attribute="1" defaultMemberUniqueName="[dataSet__2].[from2].[All]" allUniqueName="[dataSet__2].[from2].[All]" dimensionUniqueName="[dataSet__2]" displayFolder="" count="0" memberValueDatatype="130" unbalanced="0"/>
    <cacheHierarchy uniqueName="[dataSet__2].[from3]" caption="from3" attribute="1" defaultMemberUniqueName="[dataSet__2].[from3].[All]" allUniqueName="[dataSet__2].[from3].[All]" dimensionUniqueName="[dataSet__2]" displayFolder="" count="2" memberValueDatatype="130" unbalanced="0"/>
    <cacheHierarchy uniqueName="[dataSet__2].[y]" caption="y" attribute="1" defaultMemberUniqueName="[dataSet__2].[y].[All]" allUniqueName="[dataSet__2].[y].[All]" dimensionUniqueName="[dataSet__2]"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class]" caption="class" attribute="1" defaultMemberUniqueName="[Table1].[class].[All]" allUniqueName="[Table1].[clas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race]" caption="race" attribute="1" defaultMemberUniqueName="[Table1].[race].[All]" allUniqueName="[Table1].[race].[All]" dimensionUniqueName="[Table1]" displayFolder="" count="0" memberValueDatatype="20" unbalanced="0"/>
    <cacheHierarchy uniqueName="[Table1].[GPA]" caption="GPA" attribute="1" defaultMemberUniqueName="[Table1].[GPA].[All]" allUniqueName="[Table1].[GPA].[All]" dimensionUniqueName="[Table1]" displayFolder="" count="0" memberValueDatatype="5" unbalanced="0"/>
    <cacheHierarchy uniqueName="[Table1].[Algebra]" caption="Algebra" attribute="1" defaultMemberUniqueName="[Table1].[Algebra].[All]" allUniqueName="[Table1].[Algebra].[All]" dimensionUniqueName="[Table1]" displayFolder="" count="0" memberValueDatatype="20" unbalanced="0"/>
    <cacheHierarchy uniqueName="[Table1].[Calculus1]" caption="Calculus1" attribute="1" defaultMemberUniqueName="[Table1].[Calculus1].[All]" allUniqueName="[Table1].[Calculus1].[All]" dimensionUniqueName="[Table1]" displayFolder="" count="0" memberValueDatatype="20" unbalanced="0"/>
    <cacheHierarchy uniqueName="[Table1].[Calculus2]" caption="Calculus2" attribute="1" defaultMemberUniqueName="[Table1].[Calculus2].[All]" allUniqueName="[Table1].[Calculus2].[All]" dimensionUniqueName="[Table1]" displayFolder="" count="0" memberValueDatatype="20" unbalanced="0"/>
    <cacheHierarchy uniqueName="[Table1].[Statistics]" caption="Statistics" attribute="1" defaultMemberUniqueName="[Table1].[Statistics].[All]" allUniqueName="[Table1].[Statistics].[All]" dimensionUniqueName="[Table1]" displayFolder="" count="0" memberValueDatatype="20" unbalanced="0"/>
    <cacheHierarchy uniqueName="[Table1].[Probability]" caption="Probability" attribute="1" defaultMemberUniqueName="[Table1].[Probability].[All]" allUniqueName="[Table1].[Probability].[All]" dimensionUniqueName="[Table1]" displayFolder="" count="0" memberValueDatatype="5" unbalanced="0"/>
    <cacheHierarchy uniqueName="[Table1].[Measure]" caption="Measure" attribute="1" defaultMemberUniqueName="[Table1].[Measure].[All]" allUniqueName="[Table1].[Measure].[All]" dimensionUniqueName="[Table1]" displayFolder="" count="0" memberValueDatatype="20" unbalanced="0"/>
    <cacheHierarchy uniqueName="[Table1].[Functional_analysis]" caption="Functional_analysis" attribute="1" defaultMemberUniqueName="[Table1].[Functional_analysis].[All]" allUniqueName="[Table1].[Functional_analysis].[All]" dimensionUniqueName="[Table1]" displayFolder="" count="0" memberValueDatatype="20" unbalanced="0"/>
    <cacheHierarchy uniqueName="[Table1].[from1]" caption="from1" attribute="1" defaultMemberUniqueName="[Table1].[from1].[All]" allUniqueName="[Table1].[from1].[All]" dimensionUniqueName="[Table1]" displayFolder="" count="0" memberValueDatatype="130" unbalanced="0"/>
    <cacheHierarchy uniqueName="[Table1].[from2]" caption="from2" attribute="1" defaultMemberUniqueName="[Table1].[from2].[All]" allUniqueName="[Table1].[from2].[All]" dimensionUniqueName="[Table1]" displayFolder="" count="0" memberValueDatatype="130" unbalanced="0"/>
    <cacheHierarchy uniqueName="[Table1].[from3]" caption="from3" attribute="1" defaultMemberUniqueName="[Table1].[from3].[All]" allUniqueName="[Table1].[from3].[All]" dimensionUniqueName="[Table1]" displayFolder="" count="0" memberValueDatatype="130" unbalanced="0"/>
    <cacheHierarchy uniqueName="[Table1].[from4]" caption="from4" attribute="1" defaultMemberUniqueName="[Table1].[from4].[All]" allUniqueName="[Table1].[from4].[All]" dimensionUniqueName="[Table1]" displayFolder="" count="0" memberValueDatatype="20" unbalanced="0"/>
    <cacheHierarchy uniqueName="[Table1].[y]" caption="y" attribute="1" defaultMemberUniqueName="[Table1].[y].[All]" allUniqueName="[Table1].[y].[All]" dimensionUniqueName="[Table1]" displayFolder="" count="0"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hidden="1">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hidden="1">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hidden="1">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hidden="1">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hidden="1">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hidden="1">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hidden="1">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oneField="1" hidden="1">
      <fieldsUsage count="1">
        <fieldUsage x="0"/>
      </fieldsUsage>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dimensions count="3">
    <dimension name="dataSet__2" uniqueName="[dataSet__2]" caption="dataSet__2"/>
    <dimension measure="1" name="Measures" uniqueName="[Measures]" caption="Measures"/>
    <dimension name="Table1" uniqueName="[Table1]" caption="Table1"/>
  </dimensions>
  <measureGroups count="2">
    <measureGroup name="dataSet__2" caption="dataSet__2"/>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9936574077" backgroundQuery="1" createdVersion="8" refreshedVersion="8" minRefreshableVersion="3" recordCount="0" supportSubquery="1" supportAdvancedDrill="1" xr:uid="{D3C27FB6-D01F-4BCA-8746-E150D471B1C3}">
  <cacheSource type="external" connectionId="2"/>
  <cacheFields count="2">
    <cacheField name="[Measures].[Average of Statistics]" caption="Average of Statistics" numFmtId="0" hierarchy="50" level="32767"/>
    <cacheField name="[dataSet__2].[class].[class]" caption="class" numFmtId="0" hierarchy="1" level="1">
      <sharedItems containsSemiMixedTypes="0" containsNonDate="0" containsString="0"/>
    </cacheField>
  </cacheFields>
  <cacheHierarchies count="52">
    <cacheHierarchy uniqueName="[dataSet__2].[ID]" caption="ID" attribute="1" defaultMemberUniqueName="[dataSet__2].[ID].[All]" allUniqueName="[dataSet__2].[ID].[All]" dimensionUniqueName="[dataSet__2]" displayFolder="" count="0" memberValueDatatype="20" unbalanced="0"/>
    <cacheHierarchy uniqueName="[dataSet__2].[class]" caption="class" attribute="1" defaultMemberUniqueName="[dataSet__2].[class].[All]" allUniqueName="[dataSet__2].[class].[All]" dimensionUniqueName="[dataSet__2]" displayFolder="" count="2" memberValueDatatype="130" unbalanced="0">
      <fieldsUsage count="2">
        <fieldUsage x="-1"/>
        <fieldUsage x="1"/>
      </fieldsUsage>
    </cacheHierarchy>
    <cacheHierarchy uniqueName="[dataSet__2].[gender]" caption="gender" attribute="1" defaultMemberUniqueName="[dataSet__2].[gender].[All]" allUniqueName="[dataSet__2].[gender].[All]" dimensionUniqueName="[dataSet__2]" displayFolder="" count="2" memberValueDatatype="130" unbalanced="0"/>
    <cacheHierarchy uniqueName="[dataSet__2].[race]" caption="race" attribute="1" defaultMemberUniqueName="[dataSet__2].[race].[All]" allUniqueName="[dataSet__2].[race].[All]" dimensionUniqueName="[dataSet__2]" displayFolder="" count="0" memberValueDatatype="20" unbalanced="0"/>
    <cacheHierarchy uniqueName="[dataSet__2].[GPA]" caption="GPA" attribute="1" defaultMemberUniqueName="[dataSet__2].[GPA].[All]" allUniqueName="[dataSet__2].[GPA].[All]" dimensionUniqueName="[dataSet__2]" displayFolder="" count="0" memberValueDatatype="5" unbalanced="0"/>
    <cacheHierarchy uniqueName="[dataSet__2].[Algebra]" caption="Algebra" attribute="1" defaultMemberUniqueName="[dataSet__2].[Algebra].[All]" allUniqueName="[dataSet__2].[Algebra].[All]" dimensionUniqueName="[dataSet__2]" displayFolder="" count="0" memberValueDatatype="20" unbalanced="0"/>
    <cacheHierarchy uniqueName="[dataSet__2].[Calculus1]" caption="Calculus1" attribute="1" defaultMemberUniqueName="[dataSet__2].[Calculus1].[All]" allUniqueName="[dataSet__2].[Calculus1].[All]" dimensionUniqueName="[dataSet__2]" displayFolder="" count="0" memberValueDatatype="20" unbalanced="0"/>
    <cacheHierarchy uniqueName="[dataSet__2].[Calculus2]" caption="Calculus2" attribute="1" defaultMemberUniqueName="[dataSet__2].[Calculus2].[All]" allUniqueName="[dataSet__2].[Calculus2].[All]" dimensionUniqueName="[dataSet__2]" displayFolder="" count="0" memberValueDatatype="20" unbalanced="0"/>
    <cacheHierarchy uniqueName="[dataSet__2].[Statistics]" caption="Statistics" attribute="1" defaultMemberUniqueName="[dataSet__2].[Statistics].[All]" allUniqueName="[dataSet__2].[Statistics].[All]" dimensionUniqueName="[dataSet__2]" displayFolder="" count="0" memberValueDatatype="20" unbalanced="0"/>
    <cacheHierarchy uniqueName="[dataSet__2].[Probability]" caption="Probability" attribute="1" defaultMemberUniqueName="[dataSet__2].[Probability].[All]" allUniqueName="[dataSet__2].[Probability].[All]" dimensionUniqueName="[dataSet__2]" displayFolder="" count="0" memberValueDatatype="5" unbalanced="0"/>
    <cacheHierarchy uniqueName="[dataSet__2].[Measure]" caption="Measure" attribute="1" defaultMemberUniqueName="[dataSet__2].[Measure].[All]" allUniqueName="[dataSet__2].[Measure].[All]" dimensionUniqueName="[dataSet__2]" displayFolder="" count="0" memberValueDatatype="20" unbalanced="0"/>
    <cacheHierarchy uniqueName="[dataSet__2].[Functional_analysis]" caption="Functional_analysis" attribute="1" defaultMemberUniqueName="[dataSet__2].[Functional_analysis].[All]" allUniqueName="[dataSet__2].[Functional_analysis].[All]" dimensionUniqueName="[dataSet__2]" displayFolder="" count="0" memberValueDatatype="20" unbalanced="0"/>
    <cacheHierarchy uniqueName="[dataSet__2].[from1]" caption="from1" attribute="1" defaultMemberUniqueName="[dataSet__2].[from1].[All]" allUniqueName="[dataSet__2].[from1].[All]" dimensionUniqueName="[dataSet__2]" displayFolder="" count="0" memberValueDatatype="130" unbalanced="0"/>
    <cacheHierarchy uniqueName="[dataSet__2].[from2]" caption="from2" attribute="1" defaultMemberUniqueName="[dataSet__2].[from2].[All]" allUniqueName="[dataSet__2].[from2].[All]" dimensionUniqueName="[dataSet__2]" displayFolder="" count="0" memberValueDatatype="130" unbalanced="0"/>
    <cacheHierarchy uniqueName="[dataSet__2].[from3]" caption="from3" attribute="1" defaultMemberUniqueName="[dataSet__2].[from3].[All]" allUniqueName="[dataSet__2].[from3].[All]" dimensionUniqueName="[dataSet__2]" displayFolder="" count="2" memberValueDatatype="130" unbalanced="0"/>
    <cacheHierarchy uniqueName="[dataSet__2].[y]" caption="y" attribute="1" defaultMemberUniqueName="[dataSet__2].[y].[All]" allUniqueName="[dataSet__2].[y].[All]" dimensionUniqueName="[dataSet__2]"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class]" caption="class" attribute="1" defaultMemberUniqueName="[Table1].[class].[All]" allUniqueName="[Table1].[clas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race]" caption="race" attribute="1" defaultMemberUniqueName="[Table1].[race].[All]" allUniqueName="[Table1].[race].[All]" dimensionUniqueName="[Table1]" displayFolder="" count="0" memberValueDatatype="20" unbalanced="0"/>
    <cacheHierarchy uniqueName="[Table1].[GPA]" caption="GPA" attribute="1" defaultMemberUniqueName="[Table1].[GPA].[All]" allUniqueName="[Table1].[GPA].[All]" dimensionUniqueName="[Table1]" displayFolder="" count="0" memberValueDatatype="5" unbalanced="0"/>
    <cacheHierarchy uniqueName="[Table1].[Algebra]" caption="Algebra" attribute="1" defaultMemberUniqueName="[Table1].[Algebra].[All]" allUniqueName="[Table1].[Algebra].[All]" dimensionUniqueName="[Table1]" displayFolder="" count="0" memberValueDatatype="20" unbalanced="0"/>
    <cacheHierarchy uniqueName="[Table1].[Calculus1]" caption="Calculus1" attribute="1" defaultMemberUniqueName="[Table1].[Calculus1].[All]" allUniqueName="[Table1].[Calculus1].[All]" dimensionUniqueName="[Table1]" displayFolder="" count="0" memberValueDatatype="20" unbalanced="0"/>
    <cacheHierarchy uniqueName="[Table1].[Calculus2]" caption="Calculus2" attribute="1" defaultMemberUniqueName="[Table1].[Calculus2].[All]" allUniqueName="[Table1].[Calculus2].[All]" dimensionUniqueName="[Table1]" displayFolder="" count="0" memberValueDatatype="20" unbalanced="0"/>
    <cacheHierarchy uniqueName="[Table1].[Statistics]" caption="Statistics" attribute="1" defaultMemberUniqueName="[Table1].[Statistics].[All]" allUniqueName="[Table1].[Statistics].[All]" dimensionUniqueName="[Table1]" displayFolder="" count="0" memberValueDatatype="20" unbalanced="0"/>
    <cacheHierarchy uniqueName="[Table1].[Probability]" caption="Probability" attribute="1" defaultMemberUniqueName="[Table1].[Probability].[All]" allUniqueName="[Table1].[Probability].[All]" dimensionUniqueName="[Table1]" displayFolder="" count="0" memberValueDatatype="5" unbalanced="0"/>
    <cacheHierarchy uniqueName="[Table1].[Measure]" caption="Measure" attribute="1" defaultMemberUniqueName="[Table1].[Measure].[All]" allUniqueName="[Table1].[Measure].[All]" dimensionUniqueName="[Table1]" displayFolder="" count="0" memberValueDatatype="20" unbalanced="0"/>
    <cacheHierarchy uniqueName="[Table1].[Functional_analysis]" caption="Functional_analysis" attribute="1" defaultMemberUniqueName="[Table1].[Functional_analysis].[All]" allUniqueName="[Table1].[Functional_analysis].[All]" dimensionUniqueName="[Table1]" displayFolder="" count="0" memberValueDatatype="20" unbalanced="0"/>
    <cacheHierarchy uniqueName="[Table1].[from1]" caption="from1" attribute="1" defaultMemberUniqueName="[Table1].[from1].[All]" allUniqueName="[Table1].[from1].[All]" dimensionUniqueName="[Table1]" displayFolder="" count="0" memberValueDatatype="130" unbalanced="0"/>
    <cacheHierarchy uniqueName="[Table1].[from2]" caption="from2" attribute="1" defaultMemberUniqueName="[Table1].[from2].[All]" allUniqueName="[Table1].[from2].[All]" dimensionUniqueName="[Table1]" displayFolder="" count="0" memberValueDatatype="130" unbalanced="0"/>
    <cacheHierarchy uniqueName="[Table1].[from3]" caption="from3" attribute="1" defaultMemberUniqueName="[Table1].[from3].[All]" allUniqueName="[Table1].[from3].[All]" dimensionUniqueName="[Table1]" displayFolder="" count="0" memberValueDatatype="130" unbalanced="0"/>
    <cacheHierarchy uniqueName="[Table1].[from4]" caption="from4" attribute="1" defaultMemberUniqueName="[Table1].[from4].[All]" allUniqueName="[Table1].[from4].[All]" dimensionUniqueName="[Table1]" displayFolder="" count="0" memberValueDatatype="20" unbalanced="0"/>
    <cacheHierarchy uniqueName="[Table1].[y]" caption="y" attribute="1" defaultMemberUniqueName="[Table1].[y].[All]" allUniqueName="[Table1].[y].[All]" dimensionUniqueName="[Table1]" displayFolder="" count="0"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hidden="1">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hidden="1">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hidden="1">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hidden="1">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hidden="1">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hidden="1">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hidden="1">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hidden="1">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dimensions count="3">
    <dimension name="dataSet__2" uniqueName="[dataSet__2]" caption="dataSet__2"/>
    <dimension measure="1" name="Measures" uniqueName="[Measures]" caption="Measures"/>
    <dimension name="Table1" uniqueName="[Table1]" caption="Table1"/>
  </dimensions>
  <measureGroups count="2">
    <measureGroup name="dataSet__2" caption="dataSet__2"/>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1.729326157409" createdVersion="8" refreshedVersion="8" minRefreshableVersion="3" recordCount="105" xr:uid="{DEFC695F-C754-4261-91B9-E9FF5377822A}">
  <cacheSource type="worksheet">
    <worksheetSource name="dataSet__2"/>
  </cacheSource>
  <cacheFields count="16">
    <cacheField name="ID" numFmtId="0">
      <sharedItems containsSemiMixedTypes="0" containsString="0" containsNumber="1" containsInteger="1" minValue="1141" maxValue="1245"/>
    </cacheField>
    <cacheField name="class" numFmtId="0">
      <sharedItems count="2">
        <s v="A"/>
        <s v="B"/>
      </sharedItems>
    </cacheField>
    <cacheField name="gender" numFmtId="0">
      <sharedItems/>
    </cacheField>
    <cacheField name="race" numFmtId="0">
      <sharedItems containsSemiMixedTypes="0" containsString="0" containsNumber="1" containsInteger="1" minValue="1" maxValue="1"/>
    </cacheField>
    <cacheField name="GPA" numFmtId="0">
      <sharedItems containsSemiMixedTypes="0" containsString="0" containsNumber="1" minValue="67.400000000000006" maxValue="93.71"/>
    </cacheField>
    <cacheField name="Algebra" numFmtId="0">
      <sharedItems containsSemiMixedTypes="0" containsString="0" containsNumber="1" containsInteger="1" minValue="46" maxValue="98"/>
    </cacheField>
    <cacheField name="Calculus1" numFmtId="0">
      <sharedItems containsSemiMixedTypes="0" containsString="0" containsNumber="1" containsInteger="1" minValue="40" maxValue="100"/>
    </cacheField>
    <cacheField name="Calculus2" numFmtId="0">
      <sharedItems containsSemiMixedTypes="0" containsString="0" containsNumber="1" containsInteger="1" minValue="41" maxValue="99"/>
    </cacheField>
    <cacheField name="Statistics" numFmtId="0">
      <sharedItems containsSemiMixedTypes="0" containsString="0" containsNumber="1" containsInteger="1" minValue="62" maxValue="100"/>
    </cacheField>
    <cacheField name="Probability" numFmtId="0">
      <sharedItems containsSemiMixedTypes="0" containsString="0" containsNumber="1" minValue="59.5" maxValue="97"/>
    </cacheField>
    <cacheField name="Measure" numFmtId="0">
      <sharedItems containsSemiMixedTypes="0" containsString="0" containsNumber="1" containsInteger="1" minValue="54" maxValue="100"/>
    </cacheField>
    <cacheField name="Functional_analysis" numFmtId="0">
      <sharedItems containsSemiMixedTypes="0" containsString="0" containsNumber="1" containsInteger="1" minValue="40" maxValue="100"/>
    </cacheField>
    <cacheField name="from1" numFmtId="0">
      <sharedItems/>
    </cacheField>
    <cacheField name="from2" numFmtId="0">
      <sharedItems count="2">
        <s v="A"/>
        <s v="B"/>
      </sharedItems>
    </cacheField>
    <cacheField name="from3" numFmtId="0">
      <sharedItems/>
    </cacheField>
    <cacheField name="y" numFmtId="0">
      <sharedItems containsSemiMixedTypes="0" containsString="0"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763811921293" backgroundQuery="1" createdVersion="3" refreshedVersion="8" minRefreshableVersion="3" recordCount="0" supportSubquery="1" supportAdvancedDrill="1" xr:uid="{E3847D06-5163-4CA0-80DE-54981D5A93B9}">
  <cacheSource type="external" connectionId="2">
    <extLst>
      <ext xmlns:x14="http://schemas.microsoft.com/office/spreadsheetml/2009/9/main" uri="{F057638F-6D5F-4e77-A914-E7F072B9BCA8}">
        <x14:sourceConnection name="ThisWorkbookDataModel"/>
      </ext>
    </extLst>
  </cacheSource>
  <cacheFields count="0"/>
  <cacheHierarchies count="52">
    <cacheHierarchy uniqueName="[dataSet__2].[ID]" caption="ID" attribute="1" defaultMemberUniqueName="[dataSet__2].[ID].[All]" allUniqueName="[dataSet__2].[ID].[All]" dimensionUniqueName="[dataSet__2]" displayFolder="" count="0" memberValueDatatype="20" unbalanced="0"/>
    <cacheHierarchy uniqueName="[dataSet__2].[class]" caption="class" attribute="1" defaultMemberUniqueName="[dataSet__2].[class].[All]" allUniqueName="[dataSet__2].[class].[All]" dimensionUniqueName="[dataSet__2]" displayFolder="" count="2" memberValueDatatype="130" unbalanced="0"/>
    <cacheHierarchy uniqueName="[dataSet__2].[gender]" caption="gender" attribute="1" defaultMemberUniqueName="[dataSet__2].[gender].[All]" allUniqueName="[dataSet__2].[gender].[All]" dimensionUniqueName="[dataSet__2]" displayFolder="" count="2" memberValueDatatype="130" unbalanced="0"/>
    <cacheHierarchy uniqueName="[dataSet__2].[race]" caption="race" attribute="1" defaultMemberUniqueName="[dataSet__2].[race].[All]" allUniqueName="[dataSet__2].[race].[All]" dimensionUniqueName="[dataSet__2]" displayFolder="" count="0" memberValueDatatype="20" unbalanced="0"/>
    <cacheHierarchy uniqueName="[dataSet__2].[GPA]" caption="GPA" attribute="1" defaultMemberUniqueName="[dataSet__2].[GPA].[All]" allUniqueName="[dataSet__2].[GPA].[All]" dimensionUniqueName="[dataSet__2]" displayFolder="" count="0" memberValueDatatype="5" unbalanced="0"/>
    <cacheHierarchy uniqueName="[dataSet__2].[Algebra]" caption="Algebra" attribute="1" defaultMemberUniqueName="[dataSet__2].[Algebra].[All]" allUniqueName="[dataSet__2].[Algebra].[All]" dimensionUniqueName="[dataSet__2]" displayFolder="" count="0" memberValueDatatype="20" unbalanced="0"/>
    <cacheHierarchy uniqueName="[dataSet__2].[Calculus1]" caption="Calculus1" attribute="1" defaultMemberUniqueName="[dataSet__2].[Calculus1].[All]" allUniqueName="[dataSet__2].[Calculus1].[All]" dimensionUniqueName="[dataSet__2]" displayFolder="" count="0" memberValueDatatype="20" unbalanced="0"/>
    <cacheHierarchy uniqueName="[dataSet__2].[Calculus2]" caption="Calculus2" attribute="1" defaultMemberUniqueName="[dataSet__2].[Calculus2].[All]" allUniqueName="[dataSet__2].[Calculus2].[All]" dimensionUniqueName="[dataSet__2]" displayFolder="" count="0" memberValueDatatype="20" unbalanced="0"/>
    <cacheHierarchy uniqueName="[dataSet__2].[Statistics]" caption="Statistics" attribute="1" defaultMemberUniqueName="[dataSet__2].[Statistics].[All]" allUniqueName="[dataSet__2].[Statistics].[All]" dimensionUniqueName="[dataSet__2]" displayFolder="" count="0" memberValueDatatype="20" unbalanced="0"/>
    <cacheHierarchy uniqueName="[dataSet__2].[Probability]" caption="Probability" attribute="1" defaultMemberUniqueName="[dataSet__2].[Probability].[All]" allUniqueName="[dataSet__2].[Probability].[All]" dimensionUniqueName="[dataSet__2]" displayFolder="" count="0" memberValueDatatype="5" unbalanced="0"/>
    <cacheHierarchy uniqueName="[dataSet__2].[Measure]" caption="Measure" attribute="1" defaultMemberUniqueName="[dataSet__2].[Measure].[All]" allUniqueName="[dataSet__2].[Measure].[All]" dimensionUniqueName="[dataSet__2]" displayFolder="" count="0" memberValueDatatype="20" unbalanced="0"/>
    <cacheHierarchy uniqueName="[dataSet__2].[Functional_analysis]" caption="Functional_analysis" attribute="1" defaultMemberUniqueName="[dataSet__2].[Functional_analysis].[All]" allUniqueName="[dataSet__2].[Functional_analysis].[All]" dimensionUniqueName="[dataSet__2]" displayFolder="" count="0" memberValueDatatype="20" unbalanced="0"/>
    <cacheHierarchy uniqueName="[dataSet__2].[from1]" caption="from1" attribute="1" defaultMemberUniqueName="[dataSet__2].[from1].[All]" allUniqueName="[dataSet__2].[from1].[All]" dimensionUniqueName="[dataSet__2]" displayFolder="" count="0" memberValueDatatype="130" unbalanced="0"/>
    <cacheHierarchy uniqueName="[dataSet__2].[from2]" caption="from2" attribute="1" defaultMemberUniqueName="[dataSet__2].[from2].[All]" allUniqueName="[dataSet__2].[from2].[All]" dimensionUniqueName="[dataSet__2]" displayFolder="" count="0" memberValueDatatype="130" unbalanced="0"/>
    <cacheHierarchy uniqueName="[dataSet__2].[from3]" caption="from3" attribute="1" defaultMemberUniqueName="[dataSet__2].[from3].[All]" allUniqueName="[dataSet__2].[from3].[All]" dimensionUniqueName="[dataSet__2]" displayFolder="" count="2" memberValueDatatype="130" unbalanced="0"/>
    <cacheHierarchy uniqueName="[dataSet__2].[y]" caption="y" attribute="1" defaultMemberUniqueName="[dataSet__2].[y].[All]" allUniqueName="[dataSet__2].[y].[All]" dimensionUniqueName="[dataSet__2]"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class]" caption="class" attribute="1" defaultMemberUniqueName="[Table1].[class].[All]" allUniqueName="[Table1].[clas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race]" caption="race" attribute="1" defaultMemberUniqueName="[Table1].[race].[All]" allUniqueName="[Table1].[race].[All]" dimensionUniqueName="[Table1]" displayFolder="" count="0" memberValueDatatype="20" unbalanced="0"/>
    <cacheHierarchy uniqueName="[Table1].[GPA]" caption="GPA" attribute="1" defaultMemberUniqueName="[Table1].[GPA].[All]" allUniqueName="[Table1].[GPA].[All]" dimensionUniqueName="[Table1]" displayFolder="" count="0" memberValueDatatype="5" unbalanced="0"/>
    <cacheHierarchy uniqueName="[Table1].[Algebra]" caption="Algebra" attribute="1" defaultMemberUniqueName="[Table1].[Algebra].[All]" allUniqueName="[Table1].[Algebra].[All]" dimensionUniqueName="[Table1]" displayFolder="" count="0" memberValueDatatype="20" unbalanced="0"/>
    <cacheHierarchy uniqueName="[Table1].[Calculus1]" caption="Calculus1" attribute="1" defaultMemberUniqueName="[Table1].[Calculus1].[All]" allUniqueName="[Table1].[Calculus1].[All]" dimensionUniqueName="[Table1]" displayFolder="" count="0" memberValueDatatype="20" unbalanced="0"/>
    <cacheHierarchy uniqueName="[Table1].[Calculus2]" caption="Calculus2" attribute="1" defaultMemberUniqueName="[Table1].[Calculus2].[All]" allUniqueName="[Table1].[Calculus2].[All]" dimensionUniqueName="[Table1]" displayFolder="" count="0" memberValueDatatype="20" unbalanced="0"/>
    <cacheHierarchy uniqueName="[Table1].[Statistics]" caption="Statistics" attribute="1" defaultMemberUniqueName="[Table1].[Statistics].[All]" allUniqueName="[Table1].[Statistics].[All]" dimensionUniqueName="[Table1]" displayFolder="" count="0" memberValueDatatype="20" unbalanced="0"/>
    <cacheHierarchy uniqueName="[Table1].[Probability]" caption="Probability" attribute="1" defaultMemberUniqueName="[Table1].[Probability].[All]" allUniqueName="[Table1].[Probability].[All]" dimensionUniqueName="[Table1]" displayFolder="" count="0" memberValueDatatype="5" unbalanced="0"/>
    <cacheHierarchy uniqueName="[Table1].[Measure]" caption="Measure" attribute="1" defaultMemberUniqueName="[Table1].[Measure].[All]" allUniqueName="[Table1].[Measure].[All]" dimensionUniqueName="[Table1]" displayFolder="" count="0" memberValueDatatype="20" unbalanced="0"/>
    <cacheHierarchy uniqueName="[Table1].[Functional_analysis]" caption="Functional_analysis" attribute="1" defaultMemberUniqueName="[Table1].[Functional_analysis].[All]" allUniqueName="[Table1].[Functional_analysis].[All]" dimensionUniqueName="[Table1]" displayFolder="" count="0" memberValueDatatype="20" unbalanced="0"/>
    <cacheHierarchy uniqueName="[Table1].[from1]" caption="from1" attribute="1" defaultMemberUniqueName="[Table1].[from1].[All]" allUniqueName="[Table1].[from1].[All]" dimensionUniqueName="[Table1]" displayFolder="" count="0" memberValueDatatype="130" unbalanced="0"/>
    <cacheHierarchy uniqueName="[Table1].[from2]" caption="from2" attribute="1" defaultMemberUniqueName="[Table1].[from2].[All]" allUniqueName="[Table1].[from2].[All]" dimensionUniqueName="[Table1]" displayFolder="" count="0" memberValueDatatype="130" unbalanced="0"/>
    <cacheHierarchy uniqueName="[Table1].[from3]" caption="from3" attribute="1" defaultMemberUniqueName="[Table1].[from3].[All]" allUniqueName="[Table1].[from3].[All]" dimensionUniqueName="[Table1]" displayFolder="" count="0" memberValueDatatype="130" unbalanced="0"/>
    <cacheHierarchy uniqueName="[Table1].[from4]" caption="from4" attribute="1" defaultMemberUniqueName="[Table1].[from4].[All]" allUniqueName="[Table1].[from4].[All]" dimensionUniqueName="[Table1]" displayFolder="" count="0" memberValueDatatype="20" unbalanced="0"/>
    <cacheHierarchy uniqueName="[Table1].[y]" caption="y" attribute="1" defaultMemberUniqueName="[Table1].[y].[All]" allUniqueName="[Table1].[y].[All]" dimensionUniqueName="[Table1]" displayFolder="" count="0" memberValueDatatype="20" unbalanced="0"/>
    <cacheHierarchy uniqueName="[Measures].[__XL_Count Table1]" caption="__XL_Count Table1" measure="1" displayFolder="" measureGroup="Table1" count="0" hidden="1"/>
    <cacheHierarchy uniqueName="[Measures].[__XL_Count dataSet__2]" caption="__XL_Count dataSet__2" measure="1" displayFolder="" measureGroup="dataSet__2" count="0" hidden="1"/>
    <cacheHierarchy uniqueName="[Measures].[__No measures defined]" caption="__No measures defined" measure="1" displayFolder="" count="0" hidden="1"/>
    <cacheHierarchy uniqueName="[Measures].[Sum of ID]" caption="Sum of ID" measure="1" displayFolder="" measureGroup="dataSet__2"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dataSet__2" count="0" hidden="1">
      <extLst>
        <ext xmlns:x15="http://schemas.microsoft.com/office/spreadsheetml/2010/11/main" uri="{B97F6D7D-B522-45F9-BDA1-12C45D357490}">
          <x15:cacheHierarchy aggregatedColumn="0"/>
        </ext>
      </extLst>
    </cacheHierarchy>
    <cacheHierarchy uniqueName="[Measures].[Sum of GPA]" caption="Sum of GPA" measure="1" displayFolder="" measureGroup="dataSet__2" count="0" hidden="1">
      <extLst>
        <ext xmlns:x15="http://schemas.microsoft.com/office/spreadsheetml/2010/11/main" uri="{B97F6D7D-B522-45F9-BDA1-12C45D357490}">
          <x15:cacheHierarchy aggregatedColumn="4"/>
        </ext>
      </extLst>
    </cacheHierarchy>
    <cacheHierarchy uniqueName="[Measures].[Sum of Calculus1]" caption="Sum of Calculus1" measure="1" displayFolder="" measureGroup="dataSet__2" count="0" hidden="1">
      <extLst>
        <ext xmlns:x15="http://schemas.microsoft.com/office/spreadsheetml/2010/11/main" uri="{B97F6D7D-B522-45F9-BDA1-12C45D357490}">
          <x15:cacheHierarchy aggregatedColumn="6"/>
        </ext>
      </extLst>
    </cacheHierarchy>
    <cacheHierarchy uniqueName="[Measures].[Sum of Algebra]" caption="Sum of Algebra" measure="1" displayFolder="" measureGroup="dataSet__2" count="0" hidden="1">
      <extLst>
        <ext xmlns:x15="http://schemas.microsoft.com/office/spreadsheetml/2010/11/main" uri="{B97F6D7D-B522-45F9-BDA1-12C45D357490}">
          <x15:cacheHierarchy aggregatedColumn="5"/>
        </ext>
      </extLst>
    </cacheHierarchy>
    <cacheHierarchy uniqueName="[Measures].[Sum of Calculus2]" caption="Sum of Calculus2" measure="1" displayFolder="" measureGroup="dataSet__2" count="0" hidden="1">
      <extLst>
        <ext xmlns:x15="http://schemas.microsoft.com/office/spreadsheetml/2010/11/main" uri="{B97F6D7D-B522-45F9-BDA1-12C45D357490}">
          <x15:cacheHierarchy aggregatedColumn="7"/>
        </ext>
      </extLst>
    </cacheHierarchy>
    <cacheHierarchy uniqueName="[Measures].[Sum of y]" caption="Sum of y" measure="1" displayFolder="" measureGroup="dataSet__2" count="0" hidden="1">
      <extLst>
        <ext xmlns:x15="http://schemas.microsoft.com/office/spreadsheetml/2010/11/main" uri="{B97F6D7D-B522-45F9-BDA1-12C45D357490}">
          <x15:cacheHierarchy aggregatedColumn="15"/>
        </ext>
      </extLst>
    </cacheHierarchy>
    <cacheHierarchy uniqueName="[Measures].[Sum of Probability]" caption="Sum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Average of GPA]" caption="Average of GPA" measure="1" displayFolder="" measureGroup="dataSet__2" count="0" hidden="1">
      <extLst>
        <ext xmlns:x15="http://schemas.microsoft.com/office/spreadsheetml/2010/11/main" uri="{B97F6D7D-B522-45F9-BDA1-12C45D357490}">
          <x15:cacheHierarchy aggregatedColumn="4"/>
        </ext>
      </extLst>
    </cacheHierarchy>
    <cacheHierarchy uniqueName="[Measures].[Sum of Functional_analysis]" caption="Sum of Functional_analysis" measure="1" displayFolder="" measureGroup="dataSet__2" count="0" hidden="1">
      <extLst>
        <ext xmlns:x15="http://schemas.microsoft.com/office/spreadsheetml/2010/11/main" uri="{B97F6D7D-B522-45F9-BDA1-12C45D357490}">
          <x15:cacheHierarchy aggregatedColumn="11"/>
        </ext>
      </extLst>
    </cacheHierarchy>
    <cacheHierarchy uniqueName="[Measures].[Sum of Statistics]" caption="Sum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Probability]" caption="Average of Probability" measure="1" displayFolder="" measureGroup="dataSet__2" count="0" hidden="1">
      <extLst>
        <ext xmlns:x15="http://schemas.microsoft.com/office/spreadsheetml/2010/11/main" uri="{B97F6D7D-B522-45F9-BDA1-12C45D357490}">
          <x15:cacheHierarchy aggregatedColumn="9"/>
        </ext>
      </extLst>
    </cacheHierarchy>
    <cacheHierarchy uniqueName="[Measures].[Sum of Measure]" caption="Sum of Measure" measure="1" displayFolder="" measureGroup="dataSet__2" count="0" hidden="1">
      <extLst>
        <ext xmlns:x15="http://schemas.microsoft.com/office/spreadsheetml/2010/11/main" uri="{B97F6D7D-B522-45F9-BDA1-12C45D357490}">
          <x15:cacheHierarchy aggregatedColumn="10"/>
        </ext>
      </extLst>
    </cacheHierarchy>
    <cacheHierarchy uniqueName="[Measures].[Max of Statistics]" caption="Max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Statistics]" caption="Average of Statistics" measure="1" displayFolder="" measureGroup="dataSet__2" count="0" hidden="1">
      <extLst>
        <ext xmlns:x15="http://schemas.microsoft.com/office/spreadsheetml/2010/11/main" uri="{B97F6D7D-B522-45F9-BDA1-12C45D357490}">
          <x15:cacheHierarchy aggregatedColumn="8"/>
        </ext>
      </extLst>
    </cacheHierarchy>
    <cacheHierarchy uniqueName="[Measures].[Average of ID]" caption="Average of ID" measure="1" displayFolder="" measureGroup="dataSet__2"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555501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n v="1141"/>
    <x v="0"/>
    <s v="male"/>
    <n v="1"/>
    <n v="73.47"/>
    <n v="64"/>
    <n v="81"/>
    <n v="87"/>
    <n v="62"/>
    <n v="74"/>
    <n v="71"/>
    <n v="60"/>
    <s v="A"/>
    <x v="0"/>
    <s v="A"/>
    <n v="0"/>
  </r>
  <r>
    <n v="1142"/>
    <x v="0"/>
    <s v="female"/>
    <n v="1"/>
    <n v="71.22"/>
    <n v="57"/>
    <n v="50"/>
    <n v="51"/>
    <n v="62"/>
    <n v="59.5"/>
    <n v="62"/>
    <n v="61"/>
    <s v="B"/>
    <x v="0"/>
    <s v="A"/>
    <n v="0"/>
  </r>
  <r>
    <n v="1143"/>
    <x v="0"/>
    <s v="female"/>
    <n v="1"/>
    <n v="74.56"/>
    <n v="47"/>
    <n v="48"/>
    <n v="71"/>
    <n v="62"/>
    <n v="61"/>
    <n v="68"/>
    <n v="64"/>
    <s v="C"/>
    <x v="0"/>
    <s v="A"/>
    <n v="1"/>
  </r>
  <r>
    <n v="1144"/>
    <x v="0"/>
    <s v="female"/>
    <n v="1"/>
    <n v="72.89"/>
    <n v="46"/>
    <n v="72"/>
    <n v="41"/>
    <n v="62"/>
    <n v="59.5"/>
    <n v="54"/>
    <n v="51"/>
    <s v="D"/>
    <x v="0"/>
    <s v="A"/>
    <n v="0"/>
  </r>
  <r>
    <n v="1145"/>
    <x v="0"/>
    <s v="female"/>
    <n v="1"/>
    <n v="70.11"/>
    <n v="49"/>
    <n v="45"/>
    <n v="63"/>
    <n v="62"/>
    <n v="66"/>
    <n v="66"/>
    <n v="61"/>
    <s v="E"/>
    <x v="0"/>
    <s v="A"/>
    <n v="0"/>
  </r>
  <r>
    <n v="1146"/>
    <x v="0"/>
    <s v="male"/>
    <n v="1"/>
    <n v="67.400000000000006"/>
    <n v="60"/>
    <n v="60"/>
    <n v="41"/>
    <n v="62"/>
    <n v="65"/>
    <n v="74"/>
    <n v="60"/>
    <s v="F"/>
    <x v="1"/>
    <s v="C"/>
    <n v="0"/>
  </r>
  <r>
    <n v="1147"/>
    <x v="0"/>
    <s v="male"/>
    <n v="1"/>
    <n v="77.11"/>
    <n v="60"/>
    <n v="43"/>
    <n v="52"/>
    <n v="63"/>
    <n v="71"/>
    <n v="72"/>
    <n v="75"/>
    <s v="G"/>
    <x v="0"/>
    <s v="A"/>
    <n v="1"/>
  </r>
  <r>
    <n v="1148"/>
    <x v="0"/>
    <s v="female"/>
    <n v="1"/>
    <n v="67.400000000000006"/>
    <n v="60"/>
    <n v="40"/>
    <n v="60"/>
    <n v="63"/>
    <n v="70"/>
    <n v="68"/>
    <n v="51"/>
    <s v="H"/>
    <x v="1"/>
    <s v="C"/>
    <n v="0"/>
  </r>
  <r>
    <n v="1149"/>
    <x v="1"/>
    <s v="female"/>
    <n v="1"/>
    <n v="77.92"/>
    <n v="61"/>
    <n v="60"/>
    <n v="66"/>
    <n v="68"/>
    <n v="80"/>
    <n v="78"/>
    <n v="71"/>
    <s v="I"/>
    <x v="1"/>
    <s v="A"/>
    <n v="0"/>
  </r>
  <r>
    <n v="1150"/>
    <x v="0"/>
    <s v="female"/>
    <n v="1"/>
    <n v="76.5"/>
    <n v="60"/>
    <n v="61"/>
    <n v="60"/>
    <n v="69"/>
    <n v="73"/>
    <n v="60"/>
    <n v="62"/>
    <s v="H"/>
    <x v="1"/>
    <s v="A"/>
    <n v="0"/>
  </r>
  <r>
    <n v="1151"/>
    <x v="0"/>
    <s v="male"/>
    <n v="1"/>
    <n v="76.83"/>
    <n v="61"/>
    <n v="66"/>
    <n v="61"/>
    <n v="69"/>
    <n v="65"/>
    <n v="69"/>
    <n v="67"/>
    <s v="H"/>
    <x v="1"/>
    <s v="A"/>
    <n v="0"/>
  </r>
  <r>
    <n v="1152"/>
    <x v="1"/>
    <s v="female"/>
    <n v="1"/>
    <n v="83.65"/>
    <n v="73"/>
    <n v="75"/>
    <n v="76"/>
    <n v="71"/>
    <n v="85"/>
    <n v="74"/>
    <n v="89"/>
    <s v="J"/>
    <x v="1"/>
    <s v="A"/>
    <n v="0"/>
  </r>
  <r>
    <n v="1153"/>
    <x v="1"/>
    <s v="female"/>
    <n v="1"/>
    <n v="77"/>
    <n v="70"/>
    <n v="60"/>
    <n v="71"/>
    <n v="71"/>
    <n v="87"/>
    <n v="68"/>
    <n v="61"/>
    <s v="K"/>
    <x v="1"/>
    <s v="D"/>
    <n v="0"/>
  </r>
  <r>
    <n v="1154"/>
    <x v="0"/>
    <s v="male"/>
    <n v="1"/>
    <n v="80.08"/>
    <n v="67"/>
    <n v="65"/>
    <n v="74"/>
    <n v="73"/>
    <n v="87"/>
    <n v="68"/>
    <n v="76"/>
    <s v="E"/>
    <x v="1"/>
    <s v="A"/>
    <n v="2"/>
  </r>
  <r>
    <n v="1155"/>
    <x v="0"/>
    <s v="male"/>
    <n v="1"/>
    <n v="81.67"/>
    <n v="73"/>
    <n v="60"/>
    <n v="55"/>
    <n v="76"/>
    <n v="77"/>
    <n v="74"/>
    <n v="64"/>
    <s v="L"/>
    <x v="0"/>
    <s v="A"/>
    <n v="2"/>
  </r>
  <r>
    <n v="1156"/>
    <x v="1"/>
    <s v="female"/>
    <n v="1"/>
    <n v="82.07"/>
    <n v="72"/>
    <n v="63"/>
    <n v="70"/>
    <n v="76"/>
    <n v="81"/>
    <n v="86"/>
    <n v="73"/>
    <s v="E"/>
    <x v="1"/>
    <s v="A"/>
    <n v="2"/>
  </r>
  <r>
    <n v="1157"/>
    <x v="0"/>
    <s v="male"/>
    <n v="1"/>
    <n v="74.11"/>
    <n v="74"/>
    <n v="70"/>
    <n v="61"/>
    <n v="76"/>
    <n v="68"/>
    <n v="57"/>
    <n v="61"/>
    <s v="M"/>
    <x v="1"/>
    <s v="A"/>
    <n v="2"/>
  </r>
  <r>
    <n v="1158"/>
    <x v="0"/>
    <s v="male"/>
    <n v="1"/>
    <n v="81.5"/>
    <n v="68"/>
    <n v="67"/>
    <n v="55"/>
    <n v="76"/>
    <n v="85"/>
    <n v="75"/>
    <n v="87"/>
    <s v="B"/>
    <x v="0"/>
    <s v="A"/>
    <n v="0"/>
  </r>
  <r>
    <n v="1159"/>
    <x v="1"/>
    <s v="male"/>
    <n v="1"/>
    <n v="75.64"/>
    <n v="60"/>
    <n v="68"/>
    <n v="54"/>
    <n v="76"/>
    <n v="76"/>
    <n v="76"/>
    <n v="64"/>
    <s v="N"/>
    <x v="1"/>
    <s v="A"/>
    <n v="0"/>
  </r>
  <r>
    <n v="1160"/>
    <x v="0"/>
    <s v="male"/>
    <n v="1"/>
    <n v="76.459999999999994"/>
    <n v="67"/>
    <n v="73"/>
    <n v="64"/>
    <n v="78"/>
    <n v="83"/>
    <n v="76"/>
    <n v="64"/>
    <s v="O"/>
    <x v="1"/>
    <s v="B"/>
    <n v="2"/>
  </r>
  <r>
    <n v="1161"/>
    <x v="1"/>
    <s v="male"/>
    <n v="1"/>
    <n v="75.569999999999993"/>
    <n v="63"/>
    <n v="64"/>
    <n v="71"/>
    <n v="78"/>
    <n v="69"/>
    <n v="76"/>
    <n v="62"/>
    <s v="I"/>
    <x v="1"/>
    <s v="A"/>
    <n v="2"/>
  </r>
  <r>
    <n v="1162"/>
    <x v="1"/>
    <s v="male"/>
    <n v="1"/>
    <n v="83.13"/>
    <n v="82"/>
    <n v="82"/>
    <n v="92"/>
    <n v="78"/>
    <n v="92"/>
    <n v="83"/>
    <n v="78"/>
    <s v="N"/>
    <x v="1"/>
    <s v="A"/>
    <n v="0"/>
  </r>
  <r>
    <n v="1163"/>
    <x v="1"/>
    <s v="female"/>
    <n v="1"/>
    <n v="79.7"/>
    <n v="72"/>
    <n v="68"/>
    <n v="55"/>
    <n v="78"/>
    <n v="77"/>
    <n v="68"/>
    <n v="71"/>
    <s v="B"/>
    <x v="1"/>
    <s v="D"/>
    <n v="0"/>
  </r>
  <r>
    <n v="1164"/>
    <x v="0"/>
    <s v="female"/>
    <n v="1"/>
    <n v="83.98"/>
    <n v="71"/>
    <n v="73"/>
    <n v="83"/>
    <n v="79"/>
    <n v="88"/>
    <n v="87"/>
    <n v="81"/>
    <s v="F"/>
    <x v="1"/>
    <s v="A"/>
    <n v="0"/>
  </r>
  <r>
    <n v="1165"/>
    <x v="0"/>
    <s v="male"/>
    <n v="1"/>
    <n v="79.56"/>
    <n v="64"/>
    <n v="62"/>
    <n v="76"/>
    <n v="80"/>
    <n v="81"/>
    <n v="80"/>
    <n v="74"/>
    <s v="F"/>
    <x v="1"/>
    <s v="C"/>
    <n v="0"/>
  </r>
  <r>
    <n v="1166"/>
    <x v="0"/>
    <s v="female"/>
    <n v="1"/>
    <n v="78.540000000000006"/>
    <n v="76"/>
    <n v="67"/>
    <n v="71"/>
    <n v="80"/>
    <n v="71"/>
    <n v="83"/>
    <n v="67"/>
    <s v="P"/>
    <x v="0"/>
    <s v="D"/>
    <n v="0"/>
  </r>
  <r>
    <n v="1167"/>
    <x v="1"/>
    <s v="female"/>
    <n v="1"/>
    <n v="77.760000000000005"/>
    <n v="67"/>
    <n v="46"/>
    <n v="71"/>
    <n v="80"/>
    <n v="82"/>
    <n v="69"/>
    <n v="64"/>
    <s v="P"/>
    <x v="1"/>
    <s v="A"/>
    <n v="0"/>
  </r>
  <r>
    <n v="1168"/>
    <x v="0"/>
    <s v="female"/>
    <n v="1"/>
    <n v="83.06"/>
    <n v="68"/>
    <n v="72"/>
    <n v="71"/>
    <n v="81"/>
    <n v="86"/>
    <n v="81"/>
    <n v="70"/>
    <s v="F"/>
    <x v="1"/>
    <s v="A"/>
    <n v="0"/>
  </r>
  <r>
    <n v="1169"/>
    <x v="0"/>
    <s v="male"/>
    <n v="1"/>
    <n v="84.04"/>
    <n v="73"/>
    <n v="80"/>
    <n v="85"/>
    <n v="83"/>
    <n v="79"/>
    <n v="73"/>
    <n v="62"/>
    <s v="Q"/>
    <x v="1"/>
    <s v="S"/>
    <n v="0"/>
  </r>
  <r>
    <n v="1170"/>
    <x v="0"/>
    <s v="female"/>
    <n v="1"/>
    <n v="85.29"/>
    <n v="77"/>
    <n v="64"/>
    <n v="64"/>
    <n v="83"/>
    <n v="95"/>
    <n v="80"/>
    <n v="88"/>
    <s v="R"/>
    <x v="0"/>
    <s v="A"/>
    <n v="2"/>
  </r>
  <r>
    <n v="1171"/>
    <x v="1"/>
    <s v="female"/>
    <n v="1"/>
    <n v="85.04"/>
    <n v="76"/>
    <n v="75"/>
    <n v="85"/>
    <n v="83"/>
    <n v="88"/>
    <n v="82"/>
    <n v="69"/>
    <s v="J"/>
    <x v="1"/>
    <s v="A"/>
    <n v="0"/>
  </r>
  <r>
    <n v="1172"/>
    <x v="0"/>
    <s v="male"/>
    <n v="1"/>
    <n v="87.04"/>
    <n v="87"/>
    <n v="98"/>
    <n v="93"/>
    <n v="83"/>
    <n v="95"/>
    <n v="87"/>
    <n v="79"/>
    <s v="B"/>
    <x v="1"/>
    <s v="B"/>
    <n v="0"/>
  </r>
  <r>
    <n v="1173"/>
    <x v="0"/>
    <s v="male"/>
    <n v="1"/>
    <n v="74.17"/>
    <n v="63"/>
    <n v="73"/>
    <n v="61"/>
    <n v="83"/>
    <n v="72"/>
    <n v="55"/>
    <n v="62"/>
    <s v="C"/>
    <x v="0"/>
    <s v="A"/>
    <n v="0"/>
  </r>
  <r>
    <n v="1174"/>
    <x v="0"/>
    <s v="male"/>
    <n v="1"/>
    <n v="82.71"/>
    <n v="82"/>
    <n v="90"/>
    <n v="90"/>
    <n v="83"/>
    <n v="77"/>
    <n v="79"/>
    <n v="70"/>
    <s v="Q"/>
    <x v="1"/>
    <s v="B"/>
    <n v="0"/>
  </r>
  <r>
    <n v="1175"/>
    <x v="0"/>
    <s v="female"/>
    <n v="1"/>
    <n v="81.290000000000006"/>
    <n v="67"/>
    <n v="62"/>
    <n v="85"/>
    <n v="83"/>
    <n v="82"/>
    <n v="83"/>
    <n v="64"/>
    <s v="D"/>
    <x v="0"/>
    <s v="A"/>
    <n v="0"/>
  </r>
  <r>
    <n v="1176"/>
    <x v="0"/>
    <s v="female"/>
    <n v="1"/>
    <n v="85.55"/>
    <n v="69"/>
    <n v="83"/>
    <n v="73"/>
    <n v="83"/>
    <n v="85"/>
    <n v="67"/>
    <n v="81"/>
    <s v="N"/>
    <x v="0"/>
    <s v="A"/>
    <n v="1"/>
  </r>
  <r>
    <n v="1177"/>
    <x v="0"/>
    <s v="female"/>
    <n v="1"/>
    <n v="86.43"/>
    <n v="85"/>
    <n v="83"/>
    <n v="88"/>
    <n v="85"/>
    <n v="85"/>
    <n v="92"/>
    <n v="85"/>
    <s v="P"/>
    <x v="1"/>
    <s v="A"/>
    <n v="0"/>
  </r>
  <r>
    <n v="1178"/>
    <x v="0"/>
    <s v="female"/>
    <n v="1"/>
    <n v="85.11"/>
    <n v="73"/>
    <n v="61"/>
    <n v="80"/>
    <n v="85"/>
    <n v="90"/>
    <n v="79"/>
    <n v="82"/>
    <s v="S"/>
    <x v="0"/>
    <s v="A"/>
    <n v="0"/>
  </r>
  <r>
    <n v="1179"/>
    <x v="1"/>
    <s v="female"/>
    <n v="1"/>
    <n v="81.3"/>
    <n v="72"/>
    <n v="76"/>
    <n v="85"/>
    <n v="85"/>
    <n v="91"/>
    <n v="71"/>
    <n v="79"/>
    <s v="P"/>
    <x v="1"/>
    <s v="A"/>
    <n v="0"/>
  </r>
  <r>
    <n v="1180"/>
    <x v="0"/>
    <s v="female"/>
    <n v="1"/>
    <n v="84.01"/>
    <n v="80"/>
    <n v="75"/>
    <n v="83"/>
    <n v="85"/>
    <n v="86"/>
    <n v="87"/>
    <n v="81"/>
    <s v="K"/>
    <x v="1"/>
    <s v="A"/>
    <n v="1"/>
  </r>
  <r>
    <n v="1181"/>
    <x v="1"/>
    <s v="male"/>
    <n v="1"/>
    <n v="83.19"/>
    <n v="62"/>
    <n v="73"/>
    <n v="76"/>
    <n v="85"/>
    <n v="79"/>
    <n v="74"/>
    <n v="67"/>
    <s v="B"/>
    <x v="1"/>
    <s v="A"/>
    <n v="0"/>
  </r>
  <r>
    <n v="1182"/>
    <x v="1"/>
    <s v="female"/>
    <n v="1"/>
    <n v="90.66"/>
    <n v="88"/>
    <n v="78"/>
    <n v="95"/>
    <n v="85"/>
    <n v="97"/>
    <n v="97"/>
    <n v="99"/>
    <s v="B"/>
    <x v="1"/>
    <s v="A"/>
    <n v="1"/>
  </r>
  <r>
    <n v="1183"/>
    <x v="0"/>
    <s v="female"/>
    <n v="1"/>
    <n v="83.94"/>
    <n v="74"/>
    <n v="81"/>
    <n v="87"/>
    <n v="86"/>
    <n v="82"/>
    <n v="80"/>
    <n v="73"/>
    <s v="U"/>
    <x v="0"/>
    <s v="A"/>
    <n v="1"/>
  </r>
  <r>
    <n v="1184"/>
    <x v="0"/>
    <s v="female"/>
    <n v="1"/>
    <n v="81.069999999999993"/>
    <n v="64"/>
    <n v="55"/>
    <n v="71"/>
    <n v="86"/>
    <n v="67"/>
    <n v="72"/>
    <n v="73"/>
    <s v="G"/>
    <x v="0"/>
    <s v="A"/>
    <n v="0"/>
  </r>
  <r>
    <n v="1185"/>
    <x v="1"/>
    <s v="female"/>
    <n v="1"/>
    <n v="81.61"/>
    <n v="84"/>
    <n v="62"/>
    <n v="80"/>
    <n v="86"/>
    <n v="78"/>
    <n v="84"/>
    <n v="73"/>
    <s v="B"/>
    <x v="1"/>
    <s v="A"/>
    <n v="0"/>
  </r>
  <r>
    <n v="1186"/>
    <x v="0"/>
    <s v="female"/>
    <n v="1"/>
    <n v="87.85"/>
    <n v="80"/>
    <n v="78"/>
    <n v="90"/>
    <n v="87"/>
    <n v="90"/>
    <n v="87"/>
    <n v="91"/>
    <s v="V"/>
    <x v="0"/>
    <s v="A"/>
    <n v="1"/>
  </r>
  <r>
    <n v="1187"/>
    <x v="0"/>
    <s v="female"/>
    <n v="1"/>
    <n v="80.599999999999994"/>
    <n v="60"/>
    <n v="60"/>
    <n v="73"/>
    <n v="87"/>
    <n v="82"/>
    <n v="74"/>
    <n v="64"/>
    <s v="T"/>
    <x v="0"/>
    <s v="D"/>
    <n v="1"/>
  </r>
  <r>
    <n v="1188"/>
    <x v="0"/>
    <s v="male"/>
    <n v="1"/>
    <n v="74.430000000000007"/>
    <n v="66"/>
    <n v="80"/>
    <n v="83"/>
    <n v="87"/>
    <n v="79"/>
    <n v="69"/>
    <n v="60"/>
    <s v="H"/>
    <x v="1"/>
    <s v="C"/>
    <n v="0"/>
  </r>
  <r>
    <n v="1189"/>
    <x v="0"/>
    <s v="female"/>
    <n v="1"/>
    <n v="83.15"/>
    <n v="68"/>
    <n v="80"/>
    <n v="92"/>
    <n v="87"/>
    <n v="80"/>
    <n v="83"/>
    <n v="64"/>
    <s v="B"/>
    <x v="0"/>
    <s v="A"/>
    <n v="0"/>
  </r>
  <r>
    <n v="1190"/>
    <x v="0"/>
    <s v="female"/>
    <n v="1"/>
    <n v="82.55"/>
    <n v="67"/>
    <n v="71"/>
    <n v="80"/>
    <n v="87"/>
    <n v="87"/>
    <n v="83"/>
    <n v="67"/>
    <s v="Z"/>
    <x v="1"/>
    <s v="A"/>
    <n v="2"/>
  </r>
  <r>
    <n v="1191"/>
    <x v="0"/>
    <s v="male"/>
    <n v="1"/>
    <n v="79"/>
    <n v="82"/>
    <n v="72"/>
    <n v="77"/>
    <n v="87"/>
    <n v="82"/>
    <n v="92"/>
    <n v="71"/>
    <s v="S"/>
    <x v="1"/>
    <s v="A"/>
    <n v="1"/>
  </r>
  <r>
    <n v="1192"/>
    <x v="1"/>
    <s v="female"/>
    <n v="1"/>
    <n v="84.45"/>
    <n v="76"/>
    <n v="61"/>
    <n v="77"/>
    <n v="87"/>
    <n v="90"/>
    <n v="91"/>
    <n v="76"/>
    <s v="A"/>
    <x v="1"/>
    <s v="A"/>
    <n v="0"/>
  </r>
  <r>
    <n v="1193"/>
    <x v="1"/>
    <s v="female"/>
    <n v="1"/>
    <n v="85.02"/>
    <n v="70"/>
    <n v="71"/>
    <n v="83"/>
    <n v="87"/>
    <n v="90"/>
    <n v="80"/>
    <n v="76"/>
    <s v="B"/>
    <x v="1"/>
    <s v="D"/>
    <n v="0"/>
  </r>
  <r>
    <n v="1194"/>
    <x v="0"/>
    <s v="female"/>
    <n v="1"/>
    <n v="77.53"/>
    <n v="76"/>
    <n v="53"/>
    <n v="55"/>
    <n v="87"/>
    <n v="82"/>
    <n v="80"/>
    <n v="63"/>
    <s v="E"/>
    <x v="1"/>
    <s v="A"/>
    <n v="0"/>
  </r>
  <r>
    <n v="1195"/>
    <x v="0"/>
    <s v="female"/>
    <n v="1"/>
    <n v="78.08"/>
    <n v="65"/>
    <n v="60"/>
    <n v="75"/>
    <n v="88"/>
    <n v="78"/>
    <n v="78"/>
    <n v="61"/>
    <s v="J"/>
    <x v="1"/>
    <s v="A"/>
    <n v="2"/>
  </r>
  <r>
    <n v="1196"/>
    <x v="0"/>
    <s v="female"/>
    <n v="1"/>
    <n v="87.44"/>
    <n v="87"/>
    <n v="75"/>
    <n v="91"/>
    <n v="88"/>
    <n v="95"/>
    <n v="89"/>
    <n v="94"/>
    <s v="A"/>
    <x v="0"/>
    <s v="A"/>
    <n v="0"/>
  </r>
  <r>
    <n v="1197"/>
    <x v="0"/>
    <s v="female"/>
    <n v="1"/>
    <n v="81.709999999999994"/>
    <n v="69"/>
    <n v="68"/>
    <n v="78"/>
    <n v="88"/>
    <n v="78"/>
    <n v="74"/>
    <n v="78"/>
    <s v="O"/>
    <x v="0"/>
    <s v="A"/>
    <n v="0"/>
  </r>
  <r>
    <n v="1198"/>
    <x v="1"/>
    <s v="female"/>
    <n v="1"/>
    <n v="85.72"/>
    <n v="75"/>
    <n v="80"/>
    <n v="64"/>
    <n v="88"/>
    <n v="86"/>
    <n v="86"/>
    <n v="69"/>
    <s v="E"/>
    <x v="1"/>
    <s v="A"/>
    <n v="1"/>
  </r>
  <r>
    <n v="1199"/>
    <x v="1"/>
    <s v="female"/>
    <n v="1"/>
    <n v="88.35"/>
    <n v="93"/>
    <n v="71"/>
    <n v="85"/>
    <n v="88"/>
    <n v="91"/>
    <n v="92"/>
    <n v="86"/>
    <s v="U"/>
    <x v="1"/>
    <s v="A"/>
    <n v="1"/>
  </r>
  <r>
    <n v="1200"/>
    <x v="1"/>
    <s v="male"/>
    <n v="1"/>
    <n v="79.34"/>
    <n v="62"/>
    <n v="75"/>
    <n v="80"/>
    <n v="89"/>
    <n v="75"/>
    <n v="63"/>
    <n v="74"/>
    <s v="I"/>
    <x v="1"/>
    <s v="A"/>
    <n v="0"/>
  </r>
  <r>
    <n v="1201"/>
    <x v="0"/>
    <s v="female"/>
    <n v="1"/>
    <n v="84.7"/>
    <n v="62"/>
    <n v="66"/>
    <n v="93"/>
    <n v="89"/>
    <n v="84"/>
    <n v="79"/>
    <n v="81"/>
    <s v="W"/>
    <x v="0"/>
    <s v="A"/>
    <n v="0"/>
  </r>
  <r>
    <n v="1202"/>
    <x v="0"/>
    <s v="male"/>
    <n v="1"/>
    <n v="78.39"/>
    <n v="66"/>
    <n v="60"/>
    <n v="66"/>
    <n v="89"/>
    <n v="76"/>
    <n v="75"/>
    <n v="78"/>
    <s v="P"/>
    <x v="1"/>
    <s v="B"/>
    <n v="2"/>
  </r>
  <r>
    <n v="1203"/>
    <x v="1"/>
    <s v="female"/>
    <n v="1"/>
    <n v="77.53"/>
    <n v="72"/>
    <n v="71"/>
    <n v="71"/>
    <n v="89"/>
    <n v="82"/>
    <n v="66"/>
    <n v="60"/>
    <s v="X"/>
    <x v="1"/>
    <s v="D"/>
    <n v="0"/>
  </r>
  <r>
    <n v="1204"/>
    <x v="1"/>
    <s v="female"/>
    <n v="1"/>
    <n v="81.03"/>
    <n v="73"/>
    <n v="53"/>
    <n v="88"/>
    <n v="89"/>
    <n v="81"/>
    <n v="78"/>
    <n v="68"/>
    <s v="K"/>
    <x v="1"/>
    <s v="D"/>
    <n v="0"/>
  </r>
  <r>
    <n v="1205"/>
    <x v="0"/>
    <s v="female"/>
    <n v="1"/>
    <n v="83.79"/>
    <n v="81"/>
    <n v="71"/>
    <n v="68"/>
    <n v="90"/>
    <n v="79"/>
    <n v="86"/>
    <n v="73"/>
    <s v="N"/>
    <x v="0"/>
    <s v="A"/>
    <n v="2"/>
  </r>
  <r>
    <n v="1206"/>
    <x v="0"/>
    <s v="male"/>
    <n v="1"/>
    <n v="86.37"/>
    <n v="95"/>
    <n v="76"/>
    <n v="87"/>
    <n v="90"/>
    <n v="86"/>
    <n v="94"/>
    <n v="84"/>
    <s v="E"/>
    <x v="1"/>
    <s v="A"/>
    <n v="0"/>
  </r>
  <r>
    <n v="1207"/>
    <x v="1"/>
    <s v="female"/>
    <n v="1"/>
    <n v="87.3"/>
    <n v="81"/>
    <n v="80"/>
    <n v="83"/>
    <n v="90"/>
    <n v="94"/>
    <n v="95"/>
    <n v="78"/>
    <s v="K"/>
    <x v="1"/>
    <s v="A"/>
    <n v="2"/>
  </r>
  <r>
    <n v="1208"/>
    <x v="0"/>
    <s v="female"/>
    <n v="1"/>
    <n v="84.41"/>
    <n v="82"/>
    <n v="77"/>
    <n v="86"/>
    <n v="91"/>
    <n v="75"/>
    <n v="72"/>
    <n v="85"/>
    <s v="P"/>
    <x v="1"/>
    <s v="A"/>
    <n v="0"/>
  </r>
  <r>
    <n v="1209"/>
    <x v="0"/>
    <s v="female"/>
    <n v="1"/>
    <n v="93.06"/>
    <n v="82"/>
    <n v="90"/>
    <n v="93"/>
    <n v="91"/>
    <n v="93"/>
    <n v="99"/>
    <n v="94"/>
    <s v="M"/>
    <x v="1"/>
    <s v="S"/>
    <n v="0"/>
  </r>
  <r>
    <n v="1210"/>
    <x v="0"/>
    <s v="female"/>
    <n v="1"/>
    <n v="87.3"/>
    <n v="76"/>
    <n v="88"/>
    <n v="80"/>
    <n v="91"/>
    <n v="89"/>
    <n v="75"/>
    <n v="78"/>
    <s v="R"/>
    <x v="0"/>
    <s v="A"/>
    <n v="2"/>
  </r>
  <r>
    <n v="1211"/>
    <x v="1"/>
    <s v="female"/>
    <n v="1"/>
    <n v="87.42"/>
    <n v="85"/>
    <n v="75"/>
    <n v="92"/>
    <n v="91"/>
    <n v="92"/>
    <n v="75"/>
    <n v="78"/>
    <s v="K"/>
    <x v="1"/>
    <s v="A"/>
    <n v="2"/>
  </r>
  <r>
    <n v="1212"/>
    <x v="0"/>
    <s v="female"/>
    <n v="1"/>
    <n v="84.33"/>
    <n v="88"/>
    <n v="72"/>
    <n v="85"/>
    <n v="92"/>
    <n v="94"/>
    <n v="87"/>
    <n v="60"/>
    <s v="M"/>
    <x v="1"/>
    <s v="A"/>
    <n v="1"/>
  </r>
  <r>
    <n v="1213"/>
    <x v="0"/>
    <s v="male"/>
    <n v="1"/>
    <n v="89.41"/>
    <n v="90"/>
    <n v="87"/>
    <n v="83"/>
    <n v="92"/>
    <n v="97"/>
    <n v="87"/>
    <n v="70"/>
    <s v="Y"/>
    <x v="1"/>
    <s v="D"/>
    <n v="0"/>
  </r>
  <r>
    <n v="1214"/>
    <x v="0"/>
    <s v="female"/>
    <n v="1"/>
    <n v="84.11"/>
    <n v="79"/>
    <n v="48"/>
    <n v="85"/>
    <n v="92"/>
    <n v="85"/>
    <n v="88"/>
    <n v="84"/>
    <s v="X"/>
    <x v="0"/>
    <s v="A"/>
    <n v="2"/>
  </r>
  <r>
    <n v="1215"/>
    <x v="0"/>
    <s v="female"/>
    <n v="1"/>
    <n v="87.26"/>
    <n v="80"/>
    <n v="78"/>
    <n v="87"/>
    <n v="92"/>
    <n v="95"/>
    <n v="92"/>
    <n v="94"/>
    <s v="E"/>
    <x v="0"/>
    <s v="A"/>
    <n v="1"/>
  </r>
  <r>
    <n v="1216"/>
    <x v="0"/>
    <s v="female"/>
    <n v="1"/>
    <n v="91.9"/>
    <n v="95"/>
    <n v="86"/>
    <n v="96"/>
    <n v="92"/>
    <n v="95"/>
    <n v="90"/>
    <n v="95"/>
    <s v="Z"/>
    <x v="1"/>
    <s v="A"/>
    <n v="1"/>
  </r>
  <r>
    <n v="1217"/>
    <x v="0"/>
    <s v="female"/>
    <n v="1"/>
    <n v="87.77"/>
    <n v="91"/>
    <n v="68"/>
    <n v="87"/>
    <n v="92"/>
    <n v="92"/>
    <n v="90"/>
    <n v="77"/>
    <s v="V"/>
    <x v="0"/>
    <s v="A"/>
    <n v="1"/>
  </r>
  <r>
    <n v="1218"/>
    <x v="0"/>
    <s v="female"/>
    <n v="1"/>
    <n v="84.68"/>
    <n v="73"/>
    <n v="73"/>
    <n v="94"/>
    <n v="92"/>
    <n v="92"/>
    <n v="81"/>
    <n v="74"/>
    <s v="X"/>
    <x v="0"/>
    <s v="A"/>
    <n v="1"/>
  </r>
  <r>
    <n v="1219"/>
    <x v="0"/>
    <s v="male"/>
    <n v="1"/>
    <n v="67.400000000000006"/>
    <n v="81"/>
    <n v="61"/>
    <n v="41"/>
    <n v="92"/>
    <n v="88"/>
    <n v="69"/>
    <n v="40"/>
    <s v="T"/>
    <x v="1"/>
    <s v="D"/>
    <n v="0"/>
  </r>
  <r>
    <n v="1220"/>
    <x v="0"/>
    <s v="female"/>
    <n v="1"/>
    <n v="89.95"/>
    <n v="87"/>
    <n v="87"/>
    <n v="92"/>
    <n v="92"/>
    <n v="90"/>
    <n v="92"/>
    <n v="84"/>
    <s v="P"/>
    <x v="1"/>
    <s v="A"/>
    <n v="1"/>
  </r>
  <r>
    <n v="1221"/>
    <x v="0"/>
    <s v="female"/>
    <n v="1"/>
    <n v="85.18"/>
    <n v="75"/>
    <n v="70"/>
    <n v="73"/>
    <n v="92"/>
    <n v="84"/>
    <n v="76"/>
    <n v="88"/>
    <s v="X"/>
    <x v="0"/>
    <s v="A"/>
    <n v="0"/>
  </r>
  <r>
    <n v="1222"/>
    <x v="1"/>
    <s v="female"/>
    <n v="1"/>
    <n v="85.84"/>
    <n v="82"/>
    <n v="77"/>
    <n v="86"/>
    <n v="92"/>
    <n v="90"/>
    <n v="80"/>
    <n v="86"/>
    <s v="X"/>
    <x v="1"/>
    <s v="D"/>
    <n v="2"/>
  </r>
  <r>
    <n v="1223"/>
    <x v="1"/>
    <s v="male"/>
    <n v="1"/>
    <n v="84.18"/>
    <n v="84"/>
    <n v="67"/>
    <n v="94"/>
    <n v="92"/>
    <n v="82"/>
    <n v="83"/>
    <n v="85"/>
    <s v="U"/>
    <x v="1"/>
    <s v="A"/>
    <n v="1"/>
  </r>
  <r>
    <n v="1224"/>
    <x v="0"/>
    <s v="female"/>
    <n v="1"/>
    <n v="85"/>
    <n v="76"/>
    <n v="75"/>
    <n v="83"/>
    <n v="93"/>
    <n v="85"/>
    <n v="75"/>
    <n v="89"/>
    <s v="W"/>
    <x v="0"/>
    <s v="A"/>
    <n v="2"/>
  </r>
  <r>
    <n v="1225"/>
    <x v="0"/>
    <s v="female"/>
    <n v="1"/>
    <n v="90.62"/>
    <n v="94"/>
    <n v="81"/>
    <n v="90"/>
    <n v="93"/>
    <n v="91"/>
    <n v="86"/>
    <n v="94"/>
    <s v="S"/>
    <x v="0"/>
    <s v="A"/>
    <n v="1"/>
  </r>
  <r>
    <n v="1226"/>
    <x v="1"/>
    <s v="female"/>
    <n v="1"/>
    <n v="87.12"/>
    <n v="92"/>
    <n v="73"/>
    <n v="87"/>
    <n v="94"/>
    <n v="94"/>
    <n v="96"/>
    <n v="89"/>
    <s v="U"/>
    <x v="1"/>
    <s v="A"/>
    <n v="0"/>
  </r>
  <r>
    <n v="1227"/>
    <x v="0"/>
    <s v="female"/>
    <n v="1"/>
    <n v="84.63"/>
    <n v="83"/>
    <n v="87"/>
    <n v="88"/>
    <n v="94"/>
    <n v="79"/>
    <n v="87"/>
    <n v="76"/>
    <s v="X"/>
    <x v="1"/>
    <s v="A"/>
    <n v="0"/>
  </r>
  <r>
    <n v="1228"/>
    <x v="0"/>
    <s v="female"/>
    <n v="1"/>
    <n v="88.62"/>
    <n v="95"/>
    <n v="65"/>
    <n v="97"/>
    <n v="94"/>
    <n v="97"/>
    <n v="85"/>
    <n v="85"/>
    <s v="X"/>
    <x v="1"/>
    <s v="S"/>
    <n v="2"/>
  </r>
  <r>
    <n v="1229"/>
    <x v="0"/>
    <s v="female"/>
    <n v="1"/>
    <n v="87.87"/>
    <n v="84"/>
    <n v="86"/>
    <n v="94"/>
    <n v="94"/>
    <n v="94"/>
    <n v="95"/>
    <n v="80"/>
    <s v="E"/>
    <x v="1"/>
    <s v="S"/>
    <n v="1"/>
  </r>
  <r>
    <n v="1230"/>
    <x v="0"/>
    <s v="male"/>
    <n v="1"/>
    <n v="86.01"/>
    <n v="77"/>
    <n v="60"/>
    <n v="78"/>
    <n v="94"/>
    <n v="88"/>
    <n v="90"/>
    <n v="93"/>
    <s v="O"/>
    <x v="0"/>
    <s v="A"/>
    <n v="2"/>
  </r>
  <r>
    <n v="1231"/>
    <x v="0"/>
    <s v="male"/>
    <n v="1"/>
    <n v="89.46"/>
    <n v="87"/>
    <n v="92"/>
    <n v="81"/>
    <n v="95"/>
    <n v="89"/>
    <n v="92"/>
    <n v="86"/>
    <s v="E"/>
    <x v="1"/>
    <s v="A"/>
    <n v="2"/>
  </r>
  <r>
    <n v="1232"/>
    <x v="0"/>
    <s v="female"/>
    <n v="1"/>
    <n v="86.96"/>
    <n v="92"/>
    <n v="86"/>
    <n v="94"/>
    <n v="95"/>
    <n v="95"/>
    <n v="94"/>
    <n v="84"/>
    <s v="M"/>
    <x v="1"/>
    <s v="A"/>
    <n v="1"/>
  </r>
  <r>
    <n v="1233"/>
    <x v="0"/>
    <s v="male"/>
    <n v="1"/>
    <n v="86.87"/>
    <n v="82"/>
    <n v="77"/>
    <n v="85"/>
    <n v="95"/>
    <n v="94"/>
    <n v="90"/>
    <n v="80"/>
    <s v="N"/>
    <x v="1"/>
    <s v="A"/>
    <n v="0"/>
  </r>
  <r>
    <n v="1234"/>
    <x v="0"/>
    <s v="female"/>
    <n v="1"/>
    <n v="91.61"/>
    <n v="93"/>
    <n v="82"/>
    <n v="95"/>
    <n v="95"/>
    <n v="94"/>
    <n v="100"/>
    <n v="93"/>
    <s v="Y"/>
    <x v="1"/>
    <s v="S"/>
    <n v="1"/>
  </r>
  <r>
    <n v="1235"/>
    <x v="0"/>
    <s v="female"/>
    <n v="1"/>
    <n v="88.54"/>
    <n v="89"/>
    <n v="86"/>
    <n v="96"/>
    <n v="96"/>
    <n v="96"/>
    <n v="87"/>
    <n v="81"/>
    <s v="AA"/>
    <x v="1"/>
    <s v="A"/>
    <n v="0"/>
  </r>
  <r>
    <n v="1236"/>
    <x v="0"/>
    <s v="female"/>
    <n v="1"/>
    <n v="87.63"/>
    <n v="82"/>
    <n v="81"/>
    <n v="97"/>
    <n v="97"/>
    <n v="88"/>
    <n v="91"/>
    <n v="68"/>
    <s v="J"/>
    <x v="1"/>
    <s v="A"/>
    <n v="0"/>
  </r>
  <r>
    <n v="1237"/>
    <x v="0"/>
    <s v="male"/>
    <n v="1"/>
    <n v="91.74"/>
    <n v="94"/>
    <n v="100"/>
    <n v="96"/>
    <n v="97"/>
    <n v="95"/>
    <n v="94"/>
    <n v="93"/>
    <s v="C"/>
    <x v="1"/>
    <s v="S"/>
    <n v="2"/>
  </r>
  <r>
    <n v="1238"/>
    <x v="0"/>
    <s v="male"/>
    <n v="1"/>
    <n v="91.14"/>
    <n v="98"/>
    <n v="90"/>
    <n v="98"/>
    <n v="97"/>
    <n v="83"/>
    <n v="93"/>
    <n v="89"/>
    <s v="AA"/>
    <x v="1"/>
    <s v="A"/>
    <n v="1"/>
  </r>
  <r>
    <n v="1239"/>
    <x v="0"/>
    <s v="male"/>
    <n v="1"/>
    <n v="90.31"/>
    <n v="84"/>
    <n v="82"/>
    <n v="99"/>
    <n v="97"/>
    <n v="89"/>
    <n v="96"/>
    <n v="85"/>
    <s v="P"/>
    <x v="1"/>
    <s v="A"/>
    <n v="2"/>
  </r>
  <r>
    <n v="1240"/>
    <x v="1"/>
    <s v="male"/>
    <n v="1"/>
    <n v="88.1"/>
    <n v="87"/>
    <n v="70"/>
    <n v="95"/>
    <n v="97"/>
    <n v="91"/>
    <n v="93"/>
    <n v="82"/>
    <s v="AB"/>
    <x v="1"/>
    <s v="A"/>
    <n v="0"/>
  </r>
  <r>
    <n v="1241"/>
    <x v="0"/>
    <s v="female"/>
    <n v="1"/>
    <n v="88.34"/>
    <n v="87"/>
    <n v="83"/>
    <n v="92"/>
    <n v="98"/>
    <n v="93"/>
    <n v="86"/>
    <n v="90"/>
    <s v="M"/>
    <x v="1"/>
    <s v="A"/>
    <n v="1"/>
  </r>
  <r>
    <n v="1242"/>
    <x v="1"/>
    <s v="male"/>
    <n v="1"/>
    <n v="89.84"/>
    <n v="98"/>
    <n v="77"/>
    <n v="95"/>
    <n v="98"/>
    <n v="96"/>
    <n v="88"/>
    <n v="100"/>
    <s v="A"/>
    <x v="1"/>
    <s v="A"/>
    <n v="1"/>
  </r>
  <r>
    <n v="1243"/>
    <x v="1"/>
    <s v="male"/>
    <n v="1"/>
    <n v="88.82"/>
    <n v="83"/>
    <n v="80"/>
    <n v="91"/>
    <n v="98"/>
    <n v="93"/>
    <n v="95"/>
    <n v="71"/>
    <s v="T"/>
    <x v="1"/>
    <s v="A"/>
    <n v="2"/>
  </r>
  <r>
    <n v="1244"/>
    <x v="0"/>
    <s v="male"/>
    <n v="1"/>
    <n v="86.6"/>
    <n v="92"/>
    <n v="82"/>
    <n v="91"/>
    <n v="99"/>
    <n v="94"/>
    <n v="82"/>
    <n v="78"/>
    <s v="S"/>
    <x v="1"/>
    <s v="A"/>
    <n v="2"/>
  </r>
  <r>
    <n v="1245"/>
    <x v="0"/>
    <s v="male"/>
    <n v="1"/>
    <n v="93.71"/>
    <n v="93"/>
    <n v="97"/>
    <n v="99"/>
    <n v="100"/>
    <n v="97"/>
    <n v="90"/>
    <n v="90"/>
    <s v="K"/>
    <x v="1"/>
    <s v="A"/>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5C991E-4C5B-4C7F-8459-54D6BD4820E0}" name="PivotTable2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44:B4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GPA" fld="1"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caption="Average of GPA"/>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sed_dataset.xlsx!dataSet__2">
        <x15:activeTabTopLevelEntity name="[dataSe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9242E6-ED4B-45D8-AB41-A383A36F3789}" name="PivotTable2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6:D41"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name="Sum of Probability" fld="2"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0"/>
          </reference>
        </references>
      </pivotArea>
    </chartFormat>
    <chartFormat chart="3" format="3" series="1">
      <pivotArea type="data" outline="0" fieldPosition="0">
        <references count="2">
          <reference field="4294967294" count="1" selected="0">
            <x v="0"/>
          </reference>
          <reference field="0" count="1" selected="0">
            <x v="1"/>
          </reference>
        </references>
      </pivotArea>
    </chartFormat>
    <chartFormat chart="5" format="5" series="1">
      <pivotArea type="data" outline="0" fieldPosition="0">
        <references count="2">
          <reference field="4294967294" count="1" selected="0">
            <x v="0"/>
          </reference>
          <reference field="0" count="1" selected="0">
            <x v="0"/>
          </reference>
        </references>
      </pivotArea>
    </chartFormat>
    <chartFormat chart="5" format="6" series="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sed_dataset.xlsx!dataSet__2">
        <x15:activeTabTopLevelEntity name="[dataSe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41F1B7-F74B-49FA-A939-1F55FB1CD90D}"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3:D97" firstHeaderRow="1" firstDataRow="2" firstDataCol="1"/>
  <pivotFields count="16">
    <pivotField showAll="0"/>
    <pivotField axis="axisRow"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axis="axisCol" showAll="0">
      <items count="3">
        <item x="0"/>
        <item x="1"/>
        <item t="default"/>
      </items>
    </pivotField>
    <pivotField showAll="0"/>
    <pivotField showAll="0"/>
  </pivotFields>
  <rowFields count="1">
    <field x="1"/>
  </rowFields>
  <rowItems count="3">
    <i>
      <x/>
    </i>
    <i>
      <x v="1"/>
    </i>
    <i t="grand">
      <x/>
    </i>
  </rowItems>
  <colFields count="1">
    <field x="13"/>
  </colFields>
  <colItems count="3">
    <i>
      <x/>
    </i>
    <i>
      <x v="1"/>
    </i>
    <i t="grand">
      <x/>
    </i>
  </colItems>
  <dataFields count="1">
    <dataField name="Sum of Calculus2" fld="7"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7F0B06-E117-4258-9D00-55747BA98EE6}" name="PivotTable18"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3:B1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ID"/>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ID"/>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sed_dataset.xlsx!dataSet__2">
        <x15:activeTabTopLevelEntity name="[dataSe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791EB9-D154-4CDB-9A20-A4F0DF0AAF9E}" name="PivotTable27"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66:D70" firstHeaderRow="1" firstDataRow="2" firstDataCol="1"/>
  <pivotFields count="3">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s>
  <rowFields count="1">
    <field x="1"/>
  </rowFields>
  <rowItems count="3">
    <i>
      <x/>
    </i>
    <i>
      <x v="1"/>
    </i>
    <i t="grand">
      <x/>
    </i>
  </rowItems>
  <colFields count="1">
    <field x="2"/>
  </colFields>
  <colItems count="3">
    <i>
      <x/>
    </i>
    <i>
      <x v="1"/>
    </i>
    <i t="grand">
      <x/>
    </i>
  </colItems>
  <dataFields count="1">
    <dataField name="Sum of Statistics" fld="0" baseField="0" baseItem="0"/>
  </dataFields>
  <chartFormats count="4">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Hierarchies count="5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caption="Average of GPA"/>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sed_dataset.xlsx!dataSet__2">
        <x15:activeTabTopLevelEntity name="[dataSe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73B66E-1F89-4B92-AE5C-1E8DD210EC27}" name="PivotTable30"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9:A8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obability" fld="0" subtotal="average" baseField="0" baseItem="0" numFmtId="2"/>
  </dataFields>
  <pivotHierarchies count="5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caption="Average of GPA"/>
    <pivotHierarchy dragToData="1"/>
    <pivotHierarchy dragToData="1"/>
    <pivotHierarchy dragToData="1" caption="Average of Probabilit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sed_dataset.xlsx!dataSet__2">
        <x15:activeTabTopLevelEntity name="[dataSe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69FDB3-6C34-4856-B042-DC5CED1B567D}" name="PivotTable20"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28:D34"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Sum of Calculus1" fld="1" baseField="0" baseItem="0"/>
    <dataField name="Sum of Algebra" fld="2" baseField="0" baseItem="0"/>
    <dataField name="Sum of Calculus2"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5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sed_dataset.xlsx!dataSet__2">
        <x15:activeTabTopLevelEntity name="[dataSe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910BCC-B668-44FB-AB79-E35450AC7026}" name="PivotTable31"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2:A8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Measure" fld="0" baseField="0" baseItem="0"/>
  </dataFields>
  <pivotHierarchies count="5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caption="Average of GPA"/>
    <pivotHierarchy dragToData="1"/>
    <pivotHierarchy dragToData="1"/>
    <pivotHierarchy dragToData="1" caption="Average of Probabilit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sed_dataset.xlsx!dataSet__2">
        <x15:activeTabTopLevelEntity name="[dataSe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173E2F-D2BE-439C-8B20-57DC0F34A6AE}" name="PivotTable19"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9:B25"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GPA" fld="1"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4"/>
          </reference>
        </references>
      </pivotArea>
    </chartFormat>
  </chartFormats>
  <pivotHierarchies count="5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sed_dataset.xlsx!dataSet__2">
        <x15:activeTabTopLevelEntity name="[dataSe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A35A52-ACDC-4CA3-81FB-FBDA86644508}" name="PivotTable29"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6:A7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GPA" fld="0" subtotal="average" baseField="0" baseItem="0" numFmtId="2"/>
  </dataFields>
  <pivotHierarchies count="5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caption="Average of GPA"/>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sed_dataset.xlsx!dataSet__2">
        <x15:activeTabTopLevelEntity name="[dataSe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9A62C8-E6DC-48D1-BE59-5FC5696B7FEA}" name="PivotTable23"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49:B52"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Average of GPA" fld="0"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caption="Average of GPA"/>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sed_dataset.xlsx!dataSet__2">
        <x15:activeTabTopLevelEntity name="[dataSe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05C5732-AF95-4D29-88FF-7F9F32CC5377}" name="PivotTable28"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3:A7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D" fld="0" subtotal="count" baseField="0" baseItem="0"/>
  </dataFields>
  <pivotHierarchies count="5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caption="Average of GPA"/>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sed_dataset.xlsx!dataSet__2">
        <x15:activeTabTopLevelEntity name="[dataSe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52F2796-AAF0-44EA-8515-81E71F1292F5}" name="PivotTable17"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8:B1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sed_dataset.xlsx!dataSet__2">
        <x15:activeTabTopLevelEntity name="[dataSe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A9A0A14-0EFA-4525-A5E4-98A84093A135}" name="PivotTable25"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60:B6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Functional_analysis" fld="1" baseField="0" baseItem="0"/>
  </dataFields>
  <chartFormats count="2">
    <chartFormat chart="0" format="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caption="Average of GPA"/>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sed_dataset.xlsx!dataSet__2">
        <x15:activeTabTopLevelEntity name="[dataSe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C032548-4362-4B3A-94CB-97B55466D613}" name="PivotTable32"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5:A8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tatistics" fld="0" subtotal="average" baseField="0" baseItem="0" numFmtId="2"/>
  </dataFields>
  <pivotHierarchies count="5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caption="Average of GPA"/>
    <pivotHierarchy dragToData="1"/>
    <pivotHierarchy dragToData="1"/>
    <pivotHierarchy dragToData="1" caption="Average of Probability"/>
    <pivotHierarchy dragToData="1"/>
    <pivotHierarchy dragToData="1" caption="Max of Statistics"/>
    <pivotHierarchy dragToData="1" caption="Average of Statistic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sed_dataset.xlsx!dataSet__2">
        <x15:activeTabTopLevelEntity name="[dataSe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1C0A7E5-6204-4271-86F6-EACB639C24A3}" name="PivotTable2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54:B5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Functional_analysis" fld="1" baseField="0" baseItem="0"/>
  </dataFields>
  <pivotHierarchies count="5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caption="Average of GPA"/>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sed_dataset.xlsx!dataSet__2">
        <x15:activeTabTopLevelEntity name="[dataSet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B92BF000-B7B0-4C61-BAA7-BB520C2446B9}" autoFormatId="16" applyNumberFormats="0" applyBorderFormats="0" applyFontFormats="0" applyPatternFormats="0" applyAlignmentFormats="0" applyWidthHeightFormats="0">
  <queryTableRefresh nextId="17">
    <queryTableFields count="16">
      <queryTableField id="1" name="ID" tableColumnId="1"/>
      <queryTableField id="2" name="class" tableColumnId="2"/>
      <queryTableField id="3" name="gender" tableColumnId="3"/>
      <queryTableField id="4" name="race" tableColumnId="4"/>
      <queryTableField id="5" name="GPA" tableColumnId="5"/>
      <queryTableField id="6" name="Algebra" tableColumnId="6"/>
      <queryTableField id="7" name="Calculus1" tableColumnId="7"/>
      <queryTableField id="8" name="Calculus2" tableColumnId="8"/>
      <queryTableField id="9" name="Statistics" tableColumnId="9"/>
      <queryTableField id="10" name="Probability" tableColumnId="10"/>
      <queryTableField id="11" name="Measure" tableColumnId="11"/>
      <queryTableField id="12" name="Functional_analysis" tableColumnId="12"/>
      <queryTableField id="13" name="from1" tableColumnId="13"/>
      <queryTableField id="14" name="from2" tableColumnId="14"/>
      <queryTableField id="15" name="from3" tableColumnId="15"/>
      <queryTableField id="16" name="y"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316A1A8-1DCF-4D1B-B1B0-31FB6BE24B09}" sourceName="[dataSet__2].[gender]">
  <pivotTables>
    <pivotTable tabId="6" name="PivotTable22"/>
    <pivotTable tabId="6" name="PivotTable17"/>
    <pivotTable tabId="6" name="PivotTable18"/>
    <pivotTable tabId="6" name="PivotTable19"/>
    <pivotTable tabId="6" name="PivotTable20"/>
    <pivotTable tabId="6" name="PivotTable21"/>
    <pivotTable tabId="6" name="PivotTable23"/>
    <pivotTable tabId="6" name="PivotTable24"/>
    <pivotTable tabId="6" name="PivotTable25"/>
    <pivotTable tabId="6" name="PivotTable27"/>
    <pivotTable tabId="6" name="PivotTable28"/>
    <pivotTable tabId="6" name="PivotTable29"/>
    <pivotTable tabId="6" name="PivotTable30"/>
    <pivotTable tabId="6" name="PivotTable31"/>
    <pivotTable tabId="6" name="PivotTable32"/>
  </pivotTables>
  <data>
    <olap pivotCacheId="15555014">
      <levels count="2">
        <level uniqueName="[dataSet__2].[gender].[(All)]" sourceCaption="(All)" count="0"/>
        <level uniqueName="[dataSet__2].[gender].[gender]" sourceCaption="gender" count="2">
          <ranges>
            <range startItem="0">
              <i n="[dataSet__2].[gender].&amp;[female]" c="female"/>
              <i n="[dataSet__2].[gender].&amp;[male]" c="male"/>
            </range>
          </ranges>
        </level>
      </levels>
      <selections count="1">
        <selection n="[dataSet__2].[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19F4851E-9BAD-4D34-A5E3-CC2DC86A28BC}" sourceName="[dataSet__2].[class]">
  <pivotTables>
    <pivotTable tabId="6" name="PivotTable22"/>
    <pivotTable tabId="6" name="PivotTable17"/>
    <pivotTable tabId="6" name="PivotTable18"/>
    <pivotTable tabId="6" name="PivotTable19"/>
    <pivotTable tabId="6" name="PivotTable20"/>
    <pivotTable tabId="6" name="PivotTable21"/>
    <pivotTable tabId="6" name="PivotTable23"/>
    <pivotTable tabId="6" name="PivotTable24"/>
    <pivotTable tabId="6" name="PivotTable25"/>
    <pivotTable tabId="6" name="PivotTable27"/>
    <pivotTable tabId="6" name="PivotTable28"/>
    <pivotTable tabId="6" name="PivotTable29"/>
    <pivotTable tabId="6" name="PivotTable30"/>
    <pivotTable tabId="6" name="PivotTable31"/>
    <pivotTable tabId="6" name="PivotTable32"/>
  </pivotTables>
  <data>
    <olap pivotCacheId="15555014">
      <levels count="2">
        <level uniqueName="[dataSet__2].[class].[(All)]" sourceCaption="(All)" count="0"/>
        <level uniqueName="[dataSet__2].[class].[class]" sourceCaption="class" count="2">
          <ranges>
            <range startItem="0">
              <i n="[dataSet__2].[class].&amp;[A]" c="A"/>
              <i n="[dataSet__2].[class].&amp;[B]" c="B"/>
            </range>
          </ranges>
        </level>
      </levels>
      <selections count="1">
        <selection n="[dataSet__2].[clas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3" xr10:uid="{1AC3D28B-F445-44E0-AE3E-7EBDAF426180}" sourceName="[dataSet__2].[from3]">
  <pivotTables>
    <pivotTable tabId="6" name="PivotTable22"/>
    <pivotTable tabId="6" name="PivotTable17"/>
    <pivotTable tabId="6" name="PivotTable18"/>
    <pivotTable tabId="6" name="PivotTable19"/>
    <pivotTable tabId="6" name="PivotTable20"/>
    <pivotTable tabId="6" name="PivotTable21"/>
    <pivotTable tabId="6" name="PivotTable23"/>
    <pivotTable tabId="6" name="PivotTable24"/>
    <pivotTable tabId="6" name="PivotTable25"/>
    <pivotTable tabId="6" name="PivotTable27"/>
    <pivotTable tabId="6" name="PivotTable28"/>
    <pivotTable tabId="6" name="PivotTable29"/>
    <pivotTable tabId="6" name="PivotTable30"/>
    <pivotTable tabId="6" name="PivotTable31"/>
    <pivotTable tabId="6" name="PivotTable32"/>
  </pivotTables>
  <data>
    <olap pivotCacheId="15555014">
      <levels count="2">
        <level uniqueName="[dataSet__2].[from3].[(All)]" sourceCaption="(All)" count="0"/>
        <level uniqueName="[dataSet__2].[from3].[from3]" sourceCaption="from3" count="5">
          <ranges>
            <range startItem="0">
              <i n="[dataSet__2].[from3].&amp;[A]" c="A"/>
              <i n="[dataSet__2].[from3].&amp;[B]" c="B"/>
              <i n="[dataSet__2].[from3].&amp;[C]" c="C"/>
              <i n="[dataSet__2].[from3].&amp;[D]" c="D"/>
              <i n="[dataSet__2].[from3].&amp;[S]" c="S"/>
            </range>
          </ranges>
        </level>
      </levels>
      <selections count="1">
        <selection n="[dataSet__2].[from3].[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C71C7CB-D2F2-4945-8AE5-96715C352F89}" cache="Slicer_gender" caption="gender" level="1" rowHeight="234950"/>
  <slicer name="class" xr10:uid="{EF41144C-DD43-4DEE-9FDD-48DEEF5C28CD}" cache="Slicer_class" caption="class" level="1" rowHeight="234950"/>
  <slicer name="from3" xr10:uid="{C22A89DE-0E9C-4CB7-868B-F8F1D1D9D873}" cache="Slicer_from3" caption="from3"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3291753-84E9-4547-AB92-23A2BFC7DED7}" cache="Slicer_gender" caption="gender" level="1" style="SlicerStyleDark1" rowHeight="234950"/>
  <slicer name="class 1" xr10:uid="{2223FF6F-49D4-4FFA-BA7A-02A4E58B5C03}" cache="Slicer_class" caption="class" level="1" style="SlicerStyleDark1" rowHeight="234950"/>
  <slicer name="from3 1" xr10:uid="{D99BB04A-CA69-473D-BBA2-A7F75648C351}" cache="Slicer_from3" caption="from3" level="1"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1F321710-7BEC-44B6-8F01-75C43E2DDC3A}" cache="Slicer_gender" caption="gender" level="1" style="SlicerStyleDark1" rowHeight="234950"/>
  <slicer name="class 2" xr10:uid="{FAF87DDD-3EB2-4E64-85D2-0B52C24BB66E}" cache="Slicer_class" caption="class" level="1" style="SlicerStyleDark1" rowHeight="234950"/>
  <slicer name="from3 2" xr10:uid="{E54B9937-0CBB-4525-A5AC-506F82B6EA9A}" cache="Slicer_from3" caption="from3" level="1"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AACF14-6A44-4C6D-8233-5F4E77B80F7C}" name="dataSet__2" displayName="dataSet__2" ref="A1:P106" tableType="queryTable" totalsRowShown="0">
  <tableColumns count="16">
    <tableColumn id="1" xr3:uid="{95E98596-C45E-4FF8-A2B8-E8BD5FD93920}" uniqueName="1" name="ID" queryTableFieldId="1"/>
    <tableColumn id="2" xr3:uid="{FB1B1F07-2926-4EA9-B4FF-0AF701E77D1C}" uniqueName="2" name="class" queryTableFieldId="2" dataDxfId="4"/>
    <tableColumn id="3" xr3:uid="{2DF41D3E-EEB4-47D5-B27F-406D4E75A64E}" uniqueName="3" name="gender" queryTableFieldId="3" dataDxfId="3"/>
    <tableColumn id="4" xr3:uid="{642734FC-8A0B-4DC1-B35D-836C8DA36091}" uniqueName="4" name="race" queryTableFieldId="4"/>
    <tableColumn id="5" xr3:uid="{282E4B22-B47D-4A48-B14E-1CD1D3431A19}" uniqueName="5" name="GPA" queryTableFieldId="5"/>
    <tableColumn id="6" xr3:uid="{8296DEDC-DA50-4512-982B-5062AF8DC098}" uniqueName="6" name="Algebra" queryTableFieldId="6"/>
    <tableColumn id="7" xr3:uid="{D3B81FAD-53E5-4D6F-A02A-D06B11FD18E2}" uniqueName="7" name="Calculus1" queryTableFieldId="7"/>
    <tableColumn id="8" xr3:uid="{000D38EA-5119-4B65-9058-F52B9C1C8471}" uniqueName="8" name="Calculus2" queryTableFieldId="8"/>
    <tableColumn id="9" xr3:uid="{25F2F02E-FDF5-4C7C-A39B-2CB458FD8B09}" uniqueName="9" name="Statistics" queryTableFieldId="9"/>
    <tableColumn id="10" xr3:uid="{22DC10D1-CC81-4C25-ADD7-1C2EF8DC8909}" uniqueName="10" name="Probability" queryTableFieldId="10"/>
    <tableColumn id="11" xr3:uid="{C5458744-3DEB-40D5-B546-BEC0436F411D}" uniqueName="11" name="Measure" queryTableFieldId="11"/>
    <tableColumn id="12" xr3:uid="{0CC3AF87-76AA-406C-9606-7E4166AF4AD3}" uniqueName="12" name="Functional_analysis" queryTableFieldId="12"/>
    <tableColumn id="13" xr3:uid="{71688C7E-165A-4F65-9B4C-CD4C10E59A4A}" uniqueName="13" name="from1" queryTableFieldId="13" dataDxfId="2"/>
    <tableColumn id="14" xr3:uid="{A6454486-876F-43D7-98E9-5A2AFFE938ED}" uniqueName="14" name="from2" queryTableFieldId="14" dataDxfId="1"/>
    <tableColumn id="15" xr3:uid="{ED3A7E6A-3C38-4FD0-974D-35DD08311B79}" uniqueName="15" name="from3" queryTableFieldId="15" dataDxfId="0"/>
    <tableColumn id="16" xr3:uid="{227D2B36-BD31-46D2-9A1E-433404A8091A}" uniqueName="16" name="y" queryTableFieldId="1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5FFF-D3BA-4B3D-8C41-45B2A2A8449D}">
  <sheetPr codeName="Sheet1"/>
  <dimension ref="A8:D97"/>
  <sheetViews>
    <sheetView topLeftCell="A76" workbookViewId="0">
      <selection activeCell="E92" sqref="E92"/>
    </sheetView>
  </sheetViews>
  <sheetFormatPr defaultRowHeight="14.4" x14ac:dyDescent="0.3"/>
  <cols>
    <col min="1" max="1" width="18.109375" bestFit="1" customWidth="1"/>
    <col min="2" max="2" width="15.5546875" bestFit="1" customWidth="1"/>
    <col min="3" max="3" width="5" bestFit="1" customWidth="1"/>
    <col min="4" max="4" width="10.77734375" bestFit="1" customWidth="1"/>
    <col min="5" max="5" width="19.6640625" bestFit="1" customWidth="1"/>
    <col min="6" max="7" width="14" bestFit="1" customWidth="1"/>
  </cols>
  <sheetData>
    <row r="8" spans="1:2" x14ac:dyDescent="0.3">
      <c r="A8" s="1" t="s">
        <v>46</v>
      </c>
      <c r="B8" t="s">
        <v>48</v>
      </c>
    </row>
    <row r="9" spans="1:2" x14ac:dyDescent="0.3">
      <c r="A9" s="2" t="s">
        <v>16</v>
      </c>
      <c r="B9">
        <v>76</v>
      </c>
    </row>
    <row r="10" spans="1:2" x14ac:dyDescent="0.3">
      <c r="A10" s="2" t="s">
        <v>19</v>
      </c>
      <c r="B10">
        <v>29</v>
      </c>
    </row>
    <row r="11" spans="1:2" x14ac:dyDescent="0.3">
      <c r="A11" s="2" t="s">
        <v>47</v>
      </c>
      <c r="B11">
        <v>105</v>
      </c>
    </row>
    <row r="13" spans="1:2" x14ac:dyDescent="0.3">
      <c r="A13" s="1" t="s">
        <v>46</v>
      </c>
      <c r="B13" t="s">
        <v>48</v>
      </c>
    </row>
    <row r="14" spans="1:2" x14ac:dyDescent="0.3">
      <c r="A14" s="2" t="s">
        <v>18</v>
      </c>
      <c r="B14">
        <v>68</v>
      </c>
    </row>
    <row r="15" spans="1:2" x14ac:dyDescent="0.3">
      <c r="A15" s="2" t="s">
        <v>17</v>
      </c>
      <c r="B15">
        <v>37</v>
      </c>
    </row>
    <row r="16" spans="1:2" x14ac:dyDescent="0.3">
      <c r="A16" s="2" t="s">
        <v>47</v>
      </c>
      <c r="B16">
        <v>105</v>
      </c>
    </row>
    <row r="19" spans="1:4" x14ac:dyDescent="0.3">
      <c r="A19" s="1" t="s">
        <v>46</v>
      </c>
      <c r="B19" t="s">
        <v>49</v>
      </c>
    </row>
    <row r="20" spans="1:4" x14ac:dyDescent="0.3">
      <c r="A20" s="2" t="s">
        <v>16</v>
      </c>
      <c r="B20">
        <v>6767.01</v>
      </c>
    </row>
    <row r="21" spans="1:4" x14ac:dyDescent="0.3">
      <c r="A21" s="2" t="s">
        <v>19</v>
      </c>
      <c r="B21">
        <v>324.60000000000002</v>
      </c>
    </row>
    <row r="22" spans="1:4" x14ac:dyDescent="0.3">
      <c r="A22" s="2" t="s">
        <v>20</v>
      </c>
      <c r="B22">
        <v>288.79000000000002</v>
      </c>
    </row>
    <row r="23" spans="1:4" x14ac:dyDescent="0.3">
      <c r="A23" s="2" t="s">
        <v>21</v>
      </c>
      <c r="B23">
        <v>802.07</v>
      </c>
    </row>
    <row r="24" spans="1:4" x14ac:dyDescent="0.3">
      <c r="A24" s="2" t="s">
        <v>35</v>
      </c>
      <c r="B24">
        <v>536.94000000000005</v>
      </c>
    </row>
    <row r="25" spans="1:4" x14ac:dyDescent="0.3">
      <c r="A25" s="2" t="s">
        <v>47</v>
      </c>
      <c r="B25">
        <v>8719.41</v>
      </c>
    </row>
    <row r="28" spans="1:4" x14ac:dyDescent="0.3">
      <c r="A28" s="1" t="s">
        <v>46</v>
      </c>
      <c r="B28" t="s">
        <v>52</v>
      </c>
      <c r="C28" t="s">
        <v>51</v>
      </c>
      <c r="D28" t="s">
        <v>53</v>
      </c>
    </row>
    <row r="29" spans="1:4" x14ac:dyDescent="0.3">
      <c r="A29" s="2" t="s">
        <v>16</v>
      </c>
      <c r="B29">
        <v>5817</v>
      </c>
      <c r="C29">
        <v>6167</v>
      </c>
      <c r="D29">
        <v>6463</v>
      </c>
    </row>
    <row r="30" spans="1:4" x14ac:dyDescent="0.3">
      <c r="A30" s="2" t="s">
        <v>19</v>
      </c>
      <c r="B30">
        <v>321</v>
      </c>
      <c r="C30">
        <v>302</v>
      </c>
      <c r="D30">
        <v>313</v>
      </c>
    </row>
    <row r="31" spans="1:4" x14ac:dyDescent="0.3">
      <c r="A31" s="2" t="s">
        <v>20</v>
      </c>
      <c r="B31">
        <v>242</v>
      </c>
      <c r="C31">
        <v>250</v>
      </c>
      <c r="D31">
        <v>260</v>
      </c>
    </row>
    <row r="32" spans="1:4" x14ac:dyDescent="0.3">
      <c r="A32" s="2" t="s">
        <v>21</v>
      </c>
      <c r="B32">
        <v>675</v>
      </c>
      <c r="C32">
        <v>746</v>
      </c>
      <c r="D32">
        <v>722</v>
      </c>
    </row>
    <row r="33" spans="1:4" x14ac:dyDescent="0.3">
      <c r="A33" s="2" t="s">
        <v>35</v>
      </c>
      <c r="B33">
        <v>503</v>
      </c>
      <c r="C33">
        <v>521</v>
      </c>
      <c r="D33">
        <v>560</v>
      </c>
    </row>
    <row r="34" spans="1:4" x14ac:dyDescent="0.3">
      <c r="A34" s="2" t="s">
        <v>47</v>
      </c>
      <c r="B34">
        <v>7558</v>
      </c>
      <c r="C34">
        <v>7986</v>
      </c>
      <c r="D34">
        <v>8318</v>
      </c>
    </row>
    <row r="36" spans="1:4" x14ac:dyDescent="0.3">
      <c r="A36" s="1" t="s">
        <v>50</v>
      </c>
      <c r="B36" s="1" t="s">
        <v>54</v>
      </c>
    </row>
    <row r="37" spans="1:4" x14ac:dyDescent="0.3">
      <c r="A37" s="1" t="s">
        <v>46</v>
      </c>
      <c r="B37" t="s">
        <v>16</v>
      </c>
      <c r="C37" t="s">
        <v>19</v>
      </c>
      <c r="D37" t="s">
        <v>47</v>
      </c>
    </row>
    <row r="38" spans="1:4" x14ac:dyDescent="0.3">
      <c r="A38" s="2">
        <v>0</v>
      </c>
      <c r="B38">
        <v>2968</v>
      </c>
      <c r="C38">
        <v>1518</v>
      </c>
      <c r="D38">
        <v>4486</v>
      </c>
    </row>
    <row r="39" spans="1:4" x14ac:dyDescent="0.3">
      <c r="A39" s="2">
        <v>1</v>
      </c>
      <c r="B39">
        <v>1747</v>
      </c>
      <c r="C39">
        <v>452</v>
      </c>
      <c r="D39">
        <v>2199</v>
      </c>
    </row>
    <row r="40" spans="1:4" x14ac:dyDescent="0.3">
      <c r="A40" s="2">
        <v>2</v>
      </c>
      <c r="B40">
        <v>1638</v>
      </c>
      <c r="C40">
        <v>519</v>
      </c>
      <c r="D40">
        <v>2157</v>
      </c>
    </row>
    <row r="41" spans="1:4" x14ac:dyDescent="0.3">
      <c r="A41" s="2" t="s">
        <v>47</v>
      </c>
      <c r="B41">
        <v>6353</v>
      </c>
      <c r="C41">
        <v>2489</v>
      </c>
      <c r="D41">
        <v>8842</v>
      </c>
    </row>
    <row r="44" spans="1:4" x14ac:dyDescent="0.3">
      <c r="A44" s="1" t="s">
        <v>46</v>
      </c>
      <c r="B44" t="s">
        <v>58</v>
      </c>
    </row>
    <row r="45" spans="1:4" x14ac:dyDescent="0.3">
      <c r="A45" s="2" t="s">
        <v>16</v>
      </c>
      <c r="B45" s="3">
        <v>82.96197368421052</v>
      </c>
    </row>
    <row r="46" spans="1:4" x14ac:dyDescent="0.3">
      <c r="A46" s="2" t="s">
        <v>19</v>
      </c>
      <c r="B46" s="3">
        <v>83.251724137931035</v>
      </c>
    </row>
    <row r="47" spans="1:4" x14ac:dyDescent="0.3">
      <c r="A47" s="2" t="s">
        <v>47</v>
      </c>
      <c r="B47" s="3">
        <v>83.042000000000002</v>
      </c>
    </row>
    <row r="49" spans="1:2" x14ac:dyDescent="0.3">
      <c r="A49" s="1" t="s">
        <v>46</v>
      </c>
      <c r="B49" t="s">
        <v>58</v>
      </c>
    </row>
    <row r="50" spans="1:2" x14ac:dyDescent="0.3">
      <c r="A50" s="2" t="s">
        <v>18</v>
      </c>
      <c r="B50" s="3">
        <v>83.597205882352938</v>
      </c>
    </row>
    <row r="51" spans="1:2" x14ac:dyDescent="0.3">
      <c r="A51" s="2" t="s">
        <v>17</v>
      </c>
      <c r="B51" s="3">
        <v>82.02162162162162</v>
      </c>
    </row>
    <row r="52" spans="1:2" x14ac:dyDescent="0.3">
      <c r="A52" s="2" t="s">
        <v>47</v>
      </c>
      <c r="B52" s="3">
        <v>83.042000000000002</v>
      </c>
    </row>
    <row r="54" spans="1:2" x14ac:dyDescent="0.3">
      <c r="A54" s="1" t="s">
        <v>46</v>
      </c>
      <c r="B54" t="s">
        <v>57</v>
      </c>
    </row>
    <row r="55" spans="1:2" x14ac:dyDescent="0.3">
      <c r="A55" s="2">
        <v>0</v>
      </c>
      <c r="B55">
        <v>3946</v>
      </c>
    </row>
    <row r="56" spans="1:2" x14ac:dyDescent="0.3">
      <c r="A56" s="2">
        <v>1</v>
      </c>
      <c r="B56">
        <v>2053</v>
      </c>
    </row>
    <row r="57" spans="1:2" x14ac:dyDescent="0.3">
      <c r="A57" s="2">
        <v>2</v>
      </c>
      <c r="B57">
        <v>1941</v>
      </c>
    </row>
    <row r="58" spans="1:2" x14ac:dyDescent="0.3">
      <c r="A58" s="2" t="s">
        <v>47</v>
      </c>
      <c r="B58">
        <v>7940</v>
      </c>
    </row>
    <row r="60" spans="1:2" x14ac:dyDescent="0.3">
      <c r="A60" s="1" t="s">
        <v>46</v>
      </c>
      <c r="B60" t="s">
        <v>57</v>
      </c>
    </row>
    <row r="61" spans="1:2" x14ac:dyDescent="0.3">
      <c r="A61" s="2">
        <v>0</v>
      </c>
      <c r="B61">
        <v>3946</v>
      </c>
    </row>
    <row r="62" spans="1:2" x14ac:dyDescent="0.3">
      <c r="A62" s="2">
        <v>1</v>
      </c>
      <c r="B62">
        <v>2053</v>
      </c>
    </row>
    <row r="63" spans="1:2" x14ac:dyDescent="0.3">
      <c r="A63" s="2">
        <v>2</v>
      </c>
      <c r="B63">
        <v>1941</v>
      </c>
    </row>
    <row r="64" spans="1:2" x14ac:dyDescent="0.3">
      <c r="A64" s="2" t="s">
        <v>47</v>
      </c>
      <c r="B64">
        <v>7940</v>
      </c>
    </row>
    <row r="66" spans="1:4" x14ac:dyDescent="0.3">
      <c r="A66" s="1" t="s">
        <v>55</v>
      </c>
      <c r="B66" s="1" t="s">
        <v>54</v>
      </c>
    </row>
    <row r="67" spans="1:4" x14ac:dyDescent="0.3">
      <c r="A67" s="1" t="s">
        <v>46</v>
      </c>
      <c r="B67" t="s">
        <v>16</v>
      </c>
      <c r="C67" t="s">
        <v>19</v>
      </c>
      <c r="D67" t="s">
        <v>47</v>
      </c>
    </row>
    <row r="68" spans="1:4" x14ac:dyDescent="0.3">
      <c r="A68" s="2" t="s">
        <v>18</v>
      </c>
      <c r="B68">
        <v>4132</v>
      </c>
      <c r="C68">
        <v>1678</v>
      </c>
      <c r="D68">
        <v>5810</v>
      </c>
    </row>
    <row r="69" spans="1:4" x14ac:dyDescent="0.3">
      <c r="A69" s="2" t="s">
        <v>17</v>
      </c>
      <c r="B69">
        <v>2358</v>
      </c>
      <c r="C69">
        <v>791</v>
      </c>
      <c r="D69">
        <v>3149</v>
      </c>
    </row>
    <row r="70" spans="1:4" x14ac:dyDescent="0.3">
      <c r="A70" s="2" t="s">
        <v>47</v>
      </c>
      <c r="B70">
        <v>6490</v>
      </c>
      <c r="C70">
        <v>2469</v>
      </c>
      <c r="D70">
        <v>8959</v>
      </c>
    </row>
    <row r="73" spans="1:4" x14ac:dyDescent="0.3">
      <c r="A73" t="s">
        <v>48</v>
      </c>
    </row>
    <row r="74" spans="1:4" x14ac:dyDescent="0.3">
      <c r="A74">
        <v>105</v>
      </c>
    </row>
    <row r="75" spans="1:4" x14ac:dyDescent="0.3">
      <c r="B75" t="str">
        <f>"Total Students" &amp; CHAR(10) &amp; GETPIVOTDATA("[Measures].[Count of ID]",$A$73)</f>
        <v>Total Students
105</v>
      </c>
    </row>
    <row r="76" spans="1:4" x14ac:dyDescent="0.3">
      <c r="A76" t="s">
        <v>58</v>
      </c>
    </row>
    <row r="77" spans="1:4" x14ac:dyDescent="0.3">
      <c r="A77" s="3">
        <v>83.042000000000002</v>
      </c>
      <c r="B77" t="str">
        <f>"Average GPA" &amp; CHAR(10) &amp; TEXT(GETPIVOTDATA("[Measures].[Average of GPA]",$A$76),"0.00")</f>
        <v>Average GPA
83.04</v>
      </c>
    </row>
    <row r="79" spans="1:4" x14ac:dyDescent="0.3">
      <c r="A79" t="s">
        <v>59</v>
      </c>
    </row>
    <row r="80" spans="1:4" x14ac:dyDescent="0.3">
      <c r="A80" s="3">
        <v>84.209523809523816</v>
      </c>
      <c r="B80" t="str">
        <f>"Average Probability"&amp;CHAR(10)&amp;TEXT(GETPIVOTDATA("[Measures].[Average of Probability]",$A$79),"0.00")</f>
        <v>Average Probability
84.21</v>
      </c>
    </row>
    <row r="82" spans="1:4" x14ac:dyDescent="0.3">
      <c r="A82" t="s">
        <v>56</v>
      </c>
    </row>
    <row r="83" spans="1:4" x14ac:dyDescent="0.3">
      <c r="A83">
        <v>8480</v>
      </c>
      <c r="B83" t="str">
        <f>"Total Measure"&amp;CHAR(10)&amp;GETPIVOTDATA("[Measures].[Sum of Measure]",$A$82)</f>
        <v>Total Measure
8480</v>
      </c>
    </row>
    <row r="85" spans="1:4" x14ac:dyDescent="0.3">
      <c r="A85" t="s">
        <v>60</v>
      </c>
    </row>
    <row r="86" spans="1:4" x14ac:dyDescent="0.3">
      <c r="A86" s="3">
        <v>85.32380952380953</v>
      </c>
      <c r="B86" t="str">
        <f>"Average Statistics"&amp;CHAR(10)&amp;TEXT(GETPIVOTDATA("[Measures].[Average of Statistics]",$A$85),"0.00")</f>
        <v>Average Statistics
85.32</v>
      </c>
    </row>
    <row r="93" spans="1:4" x14ac:dyDescent="0.3">
      <c r="A93" s="1" t="s">
        <v>53</v>
      </c>
      <c r="B93" s="1" t="s">
        <v>54</v>
      </c>
    </row>
    <row r="94" spans="1:4" x14ac:dyDescent="0.3">
      <c r="A94" s="1" t="s">
        <v>46</v>
      </c>
      <c r="B94" t="s">
        <v>16</v>
      </c>
      <c r="C94" t="s">
        <v>19</v>
      </c>
      <c r="D94" t="s">
        <v>47</v>
      </c>
    </row>
    <row r="95" spans="1:4" x14ac:dyDescent="0.3">
      <c r="A95" s="2" t="s">
        <v>16</v>
      </c>
      <c r="B95">
        <v>2409</v>
      </c>
      <c r="C95">
        <v>3591</v>
      </c>
      <c r="D95">
        <v>6000</v>
      </c>
    </row>
    <row r="96" spans="1:4" x14ac:dyDescent="0.3">
      <c r="A96" s="2" t="s">
        <v>19</v>
      </c>
      <c r="C96">
        <v>2318</v>
      </c>
      <c r="D96">
        <v>2318</v>
      </c>
    </row>
    <row r="97" spans="1:4" x14ac:dyDescent="0.3">
      <c r="A97" s="2" t="s">
        <v>47</v>
      </c>
      <c r="B97">
        <v>2409</v>
      </c>
      <c r="C97">
        <v>5909</v>
      </c>
      <c r="D97">
        <v>8318</v>
      </c>
    </row>
  </sheetData>
  <pageMargins left="0.7" right="0.7" top="0.75" bottom="0.75" header="0.3" footer="0.3"/>
  <pageSetup orientation="portrait" r:id="rId17"/>
  <drawing r:id="rId18"/>
  <extLst>
    <ext xmlns:x14="http://schemas.microsoft.com/office/spreadsheetml/2009/9/main" uri="{A8765BA9-456A-4dab-B4F3-ACF838C121DE}">
      <x14:slicerList>
        <x14:slicer r:id="rId1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0D60-31D6-4275-8166-C8F62FCF8C52}">
  <sheetPr codeName="Sheet2"/>
  <dimension ref="A1:R28"/>
  <sheetViews>
    <sheetView zoomScaleNormal="100" workbookViewId="0">
      <selection sqref="A1:R2"/>
    </sheetView>
  </sheetViews>
  <sheetFormatPr defaultRowHeight="14.4" x14ac:dyDescent="0.3"/>
  <cols>
    <col min="1" max="1" width="18.44140625" customWidth="1"/>
    <col min="2" max="2" width="15.6640625" customWidth="1"/>
    <col min="3" max="3" width="13.44140625" customWidth="1"/>
    <col min="4" max="4" width="11.77734375" customWidth="1"/>
    <col min="5" max="5" width="16.88671875" customWidth="1"/>
    <col min="6" max="7" width="12.88671875" customWidth="1"/>
    <col min="8" max="8" width="12.44140625" customWidth="1"/>
    <col min="9" max="9" width="12.109375" customWidth="1"/>
    <col min="17" max="18" width="8.88671875" customWidth="1"/>
  </cols>
  <sheetData>
    <row r="1" spans="1:18" ht="14.4" customHeight="1" x14ac:dyDescent="0.3">
      <c r="A1" s="13" t="s">
        <v>61</v>
      </c>
      <c r="B1" s="14"/>
      <c r="C1" s="14"/>
      <c r="D1" s="14"/>
      <c r="E1" s="14"/>
      <c r="F1" s="14"/>
      <c r="G1" s="14"/>
      <c r="H1" s="14"/>
      <c r="I1" s="14"/>
      <c r="J1" s="14"/>
      <c r="K1" s="14"/>
      <c r="L1" s="14"/>
      <c r="M1" s="14"/>
      <c r="N1" s="14"/>
      <c r="O1" s="14"/>
      <c r="P1" s="14"/>
      <c r="Q1" s="14"/>
      <c r="R1" s="15"/>
    </row>
    <row r="2" spans="1:18" ht="14.4" customHeight="1" thickBot="1" x14ac:dyDescent="0.35">
      <c r="A2" s="16"/>
      <c r="B2" s="17"/>
      <c r="C2" s="17"/>
      <c r="D2" s="17"/>
      <c r="E2" s="17"/>
      <c r="F2" s="17"/>
      <c r="G2" s="17"/>
      <c r="H2" s="17"/>
      <c r="I2" s="17"/>
      <c r="J2" s="17"/>
      <c r="K2" s="17"/>
      <c r="L2" s="17"/>
      <c r="M2" s="17"/>
      <c r="N2" s="17"/>
      <c r="O2" s="17"/>
      <c r="P2" s="17"/>
      <c r="Q2" s="17"/>
      <c r="R2" s="18"/>
    </row>
    <row r="3" spans="1:18" x14ac:dyDescent="0.3">
      <c r="A3" s="4"/>
      <c r="B3" s="5"/>
      <c r="C3" s="5"/>
      <c r="D3" s="5"/>
      <c r="E3" s="5"/>
      <c r="F3" s="5"/>
      <c r="G3" s="5"/>
      <c r="H3" s="5"/>
      <c r="I3" s="5"/>
      <c r="J3" s="5"/>
      <c r="K3" s="5"/>
      <c r="L3" s="5"/>
      <c r="M3" s="5"/>
      <c r="N3" s="5"/>
      <c r="O3" s="5"/>
      <c r="P3" s="5"/>
      <c r="Q3" s="5"/>
      <c r="R3" s="6"/>
    </row>
    <row r="4" spans="1:18" x14ac:dyDescent="0.3">
      <c r="A4" s="7"/>
      <c r="B4" s="8"/>
      <c r="C4" s="8"/>
      <c r="D4" s="8"/>
      <c r="E4" s="8"/>
      <c r="F4" s="8"/>
      <c r="G4" s="8"/>
      <c r="H4" s="8"/>
      <c r="I4" s="8"/>
      <c r="J4" s="8"/>
      <c r="K4" s="8"/>
      <c r="L4" s="8"/>
      <c r="M4" s="8"/>
      <c r="N4" s="8"/>
      <c r="O4" s="8"/>
      <c r="P4" s="8"/>
      <c r="Q4" s="8"/>
      <c r="R4" s="9"/>
    </row>
    <row r="5" spans="1:18" x14ac:dyDescent="0.3">
      <c r="A5" s="7"/>
      <c r="B5" s="8"/>
      <c r="C5" s="8"/>
      <c r="D5" s="8"/>
      <c r="E5" s="8"/>
      <c r="F5" s="8"/>
      <c r="G5" s="8"/>
      <c r="H5" s="8"/>
      <c r="I5" s="8"/>
      <c r="J5" s="8"/>
      <c r="K5" s="8"/>
      <c r="L5" s="8"/>
      <c r="M5" s="8"/>
      <c r="N5" s="8"/>
      <c r="O5" s="8"/>
      <c r="P5" s="8"/>
      <c r="Q5" s="8"/>
      <c r="R5" s="9"/>
    </row>
    <row r="6" spans="1:18" x14ac:dyDescent="0.3">
      <c r="A6" s="7"/>
      <c r="B6" s="8"/>
      <c r="C6" s="8"/>
      <c r="D6" s="8"/>
      <c r="E6" s="8"/>
      <c r="F6" s="8"/>
      <c r="G6" s="8"/>
      <c r="H6" s="8"/>
      <c r="I6" s="8"/>
      <c r="J6" s="8"/>
      <c r="K6" s="8"/>
      <c r="L6" s="8"/>
      <c r="M6" s="8"/>
      <c r="N6" s="8"/>
      <c r="O6" s="8"/>
      <c r="P6" s="8"/>
      <c r="Q6" s="8"/>
      <c r="R6" s="9"/>
    </row>
    <row r="7" spans="1:18" x14ac:dyDescent="0.3">
      <c r="A7" s="7"/>
      <c r="B7" s="8"/>
      <c r="C7" s="8"/>
      <c r="D7" s="8"/>
      <c r="E7" s="8"/>
      <c r="F7" s="8"/>
      <c r="G7" s="8"/>
      <c r="H7" s="8"/>
      <c r="I7" s="8"/>
      <c r="J7" s="8"/>
      <c r="K7" s="8"/>
      <c r="L7" s="8"/>
      <c r="M7" s="8"/>
      <c r="N7" s="8"/>
      <c r="O7" s="8"/>
      <c r="P7" s="8"/>
      <c r="Q7" s="8"/>
      <c r="R7" s="9"/>
    </row>
    <row r="8" spans="1:18" x14ac:dyDescent="0.3">
      <c r="A8" s="7"/>
      <c r="B8" s="8"/>
      <c r="C8" s="8"/>
      <c r="D8" s="8"/>
      <c r="E8" s="8"/>
      <c r="F8" s="8"/>
      <c r="G8" s="8"/>
      <c r="H8" s="8"/>
      <c r="I8" s="8"/>
      <c r="J8" s="8"/>
      <c r="K8" s="8"/>
      <c r="L8" s="8"/>
      <c r="M8" s="8"/>
      <c r="N8" s="8"/>
      <c r="O8" s="8"/>
      <c r="P8" s="8"/>
      <c r="Q8" s="8"/>
      <c r="R8" s="9"/>
    </row>
    <row r="9" spans="1:18" x14ac:dyDescent="0.3">
      <c r="A9" s="7"/>
      <c r="B9" s="8"/>
      <c r="C9" s="8"/>
      <c r="D9" s="8"/>
      <c r="E9" s="8"/>
      <c r="F9" s="8"/>
      <c r="G9" s="8"/>
      <c r="H9" s="8"/>
      <c r="I9" s="8"/>
      <c r="J9" s="8"/>
      <c r="K9" s="8"/>
      <c r="L9" s="8"/>
      <c r="M9" s="8"/>
      <c r="N9" s="8"/>
      <c r="O9" s="8"/>
      <c r="P9" s="8"/>
      <c r="Q9" s="8"/>
      <c r="R9" s="9"/>
    </row>
    <row r="10" spans="1:18" x14ac:dyDescent="0.3">
      <c r="A10" s="7"/>
      <c r="B10" s="8"/>
      <c r="C10" s="8"/>
      <c r="D10" s="8"/>
      <c r="E10" s="8"/>
      <c r="F10" s="8"/>
      <c r="G10" s="8"/>
      <c r="H10" s="8"/>
      <c r="I10" s="8"/>
      <c r="J10" s="8"/>
      <c r="K10" s="8"/>
      <c r="L10" s="8"/>
      <c r="M10" s="8"/>
      <c r="N10" s="8"/>
      <c r="O10" s="8"/>
      <c r="P10" s="8"/>
      <c r="Q10" s="8"/>
      <c r="R10" s="9"/>
    </row>
    <row r="11" spans="1:18" x14ac:dyDescent="0.3">
      <c r="A11" s="7"/>
      <c r="B11" s="8"/>
      <c r="C11" s="8"/>
      <c r="D11" s="8"/>
      <c r="E11" s="8"/>
      <c r="F11" s="8"/>
      <c r="G11" s="8"/>
      <c r="H11" s="8"/>
      <c r="I11" s="8"/>
      <c r="J11" s="8"/>
      <c r="K11" s="8"/>
      <c r="L11" s="8"/>
      <c r="M11" s="8"/>
      <c r="N11" s="8"/>
      <c r="O11" s="8"/>
      <c r="P11" s="8"/>
      <c r="Q11" s="8"/>
      <c r="R11" s="9"/>
    </row>
    <row r="12" spans="1:18" x14ac:dyDescent="0.3">
      <c r="A12" s="7"/>
      <c r="B12" s="8"/>
      <c r="C12" s="8"/>
      <c r="D12" s="8"/>
      <c r="E12" s="8"/>
      <c r="F12" s="8"/>
      <c r="G12" s="8"/>
      <c r="H12" s="8"/>
      <c r="I12" s="8"/>
      <c r="J12" s="8"/>
      <c r="K12" s="8"/>
      <c r="L12" s="8"/>
      <c r="M12" s="8"/>
      <c r="N12" s="8"/>
      <c r="O12" s="8"/>
      <c r="P12" s="8"/>
      <c r="Q12" s="8"/>
      <c r="R12" s="9"/>
    </row>
    <row r="13" spans="1:18" x14ac:dyDescent="0.3">
      <c r="A13" s="7"/>
      <c r="B13" s="8"/>
      <c r="C13" s="8"/>
      <c r="D13" s="8"/>
      <c r="E13" s="8"/>
      <c r="F13" s="8"/>
      <c r="G13" s="8"/>
      <c r="H13" s="8"/>
      <c r="I13" s="8"/>
      <c r="J13" s="8"/>
      <c r="K13" s="8"/>
      <c r="L13" s="8"/>
      <c r="M13" s="8"/>
      <c r="N13" s="8"/>
      <c r="O13" s="8"/>
      <c r="P13" s="8"/>
      <c r="Q13" s="8"/>
      <c r="R13" s="9"/>
    </row>
    <row r="14" spans="1:18" x14ac:dyDescent="0.3">
      <c r="A14" s="7"/>
      <c r="B14" s="8"/>
      <c r="C14" s="8"/>
      <c r="D14" s="8"/>
      <c r="E14" s="8"/>
      <c r="F14" s="8"/>
      <c r="G14" s="8"/>
      <c r="H14" s="8"/>
      <c r="I14" s="8"/>
      <c r="J14" s="8"/>
      <c r="K14" s="8"/>
      <c r="L14" s="8"/>
      <c r="M14" s="8"/>
      <c r="N14" s="8"/>
      <c r="O14" s="8"/>
      <c r="P14" s="8"/>
      <c r="Q14" s="8"/>
      <c r="R14" s="9"/>
    </row>
    <row r="15" spans="1:18" x14ac:dyDescent="0.3">
      <c r="A15" s="7"/>
      <c r="B15" s="8"/>
      <c r="C15" s="8"/>
      <c r="D15" s="8"/>
      <c r="E15" s="8"/>
      <c r="F15" s="8"/>
      <c r="G15" s="8"/>
      <c r="H15" s="8"/>
      <c r="I15" s="8"/>
      <c r="J15" s="8"/>
      <c r="K15" s="8"/>
      <c r="L15" s="8"/>
      <c r="M15" s="8"/>
      <c r="N15" s="8"/>
      <c r="O15" s="8"/>
      <c r="P15" s="8"/>
      <c r="Q15" s="8"/>
      <c r="R15" s="9"/>
    </row>
    <row r="16" spans="1:18" x14ac:dyDescent="0.3">
      <c r="A16" s="7"/>
      <c r="B16" s="8"/>
      <c r="C16" s="8"/>
      <c r="D16" s="8"/>
      <c r="E16" s="8"/>
      <c r="F16" s="8"/>
      <c r="G16" s="8"/>
      <c r="H16" s="8"/>
      <c r="I16" s="8"/>
      <c r="J16" s="8"/>
      <c r="K16" s="8"/>
      <c r="L16" s="8"/>
      <c r="M16" s="8"/>
      <c r="N16" s="8"/>
      <c r="O16" s="8"/>
      <c r="P16" s="8"/>
      <c r="Q16" s="8"/>
      <c r="R16" s="9"/>
    </row>
    <row r="17" spans="1:18" x14ac:dyDescent="0.3">
      <c r="A17" s="7"/>
      <c r="B17" s="8"/>
      <c r="C17" s="8"/>
      <c r="D17" s="8"/>
      <c r="E17" s="8"/>
      <c r="F17" s="8"/>
      <c r="G17" s="8"/>
      <c r="H17" s="8"/>
      <c r="I17" s="8"/>
      <c r="J17" s="8"/>
      <c r="K17" s="8"/>
      <c r="L17" s="8"/>
      <c r="M17" s="8"/>
      <c r="N17" s="8"/>
      <c r="O17" s="8"/>
      <c r="P17" s="8"/>
      <c r="Q17" s="8"/>
      <c r="R17" s="9"/>
    </row>
    <row r="18" spans="1:18" x14ac:dyDescent="0.3">
      <c r="A18" s="7"/>
      <c r="B18" s="8"/>
      <c r="C18" s="8"/>
      <c r="D18" s="8"/>
      <c r="E18" s="8"/>
      <c r="F18" s="8"/>
      <c r="G18" s="8"/>
      <c r="H18" s="8"/>
      <c r="I18" s="8"/>
      <c r="J18" s="8"/>
      <c r="K18" s="8"/>
      <c r="L18" s="8"/>
      <c r="M18" s="8"/>
      <c r="N18" s="8"/>
      <c r="O18" s="8"/>
      <c r="P18" s="8"/>
      <c r="Q18" s="8"/>
      <c r="R18" s="9"/>
    </row>
    <row r="19" spans="1:18" x14ac:dyDescent="0.3">
      <c r="A19" s="7"/>
      <c r="B19" s="8"/>
      <c r="C19" s="8"/>
      <c r="D19" s="8"/>
      <c r="E19" s="8"/>
      <c r="F19" s="8"/>
      <c r="G19" s="8"/>
      <c r="H19" s="8"/>
      <c r="I19" s="8"/>
      <c r="J19" s="8"/>
      <c r="K19" s="8"/>
      <c r="L19" s="8"/>
      <c r="M19" s="8"/>
      <c r="N19" s="8"/>
      <c r="O19" s="8"/>
      <c r="P19" s="8"/>
      <c r="Q19" s="8"/>
      <c r="R19" s="9"/>
    </row>
    <row r="20" spans="1:18" x14ac:dyDescent="0.3">
      <c r="A20" s="7"/>
      <c r="B20" s="8"/>
      <c r="C20" s="8"/>
      <c r="D20" s="8"/>
      <c r="E20" s="8"/>
      <c r="F20" s="8"/>
      <c r="G20" s="8"/>
      <c r="H20" s="8"/>
      <c r="I20" s="8"/>
      <c r="J20" s="8"/>
      <c r="K20" s="8"/>
      <c r="L20" s="8"/>
      <c r="M20" s="8"/>
      <c r="N20" s="8"/>
      <c r="O20" s="8"/>
      <c r="P20" s="8"/>
      <c r="Q20" s="8"/>
      <c r="R20" s="9"/>
    </row>
    <row r="21" spans="1:18" x14ac:dyDescent="0.3">
      <c r="A21" s="7"/>
      <c r="B21" s="8"/>
      <c r="C21" s="8"/>
      <c r="D21" s="8"/>
      <c r="E21" s="8"/>
      <c r="F21" s="8"/>
      <c r="G21" s="8"/>
      <c r="H21" s="8"/>
      <c r="I21" s="8"/>
      <c r="J21" s="8"/>
      <c r="K21" s="8"/>
      <c r="L21" s="8"/>
      <c r="M21" s="8"/>
      <c r="N21" s="8"/>
      <c r="O21" s="8"/>
      <c r="P21" s="8"/>
      <c r="Q21" s="8"/>
      <c r="R21" s="9"/>
    </row>
    <row r="22" spans="1:18" x14ac:dyDescent="0.3">
      <c r="A22" s="7"/>
      <c r="B22" s="8"/>
      <c r="C22" s="8"/>
      <c r="D22" s="8"/>
      <c r="E22" s="8"/>
      <c r="F22" s="8"/>
      <c r="G22" s="8"/>
      <c r="H22" s="8"/>
      <c r="I22" s="8"/>
      <c r="J22" s="8"/>
      <c r="K22" s="8"/>
      <c r="L22" s="8"/>
      <c r="M22" s="8"/>
      <c r="N22" s="8"/>
      <c r="O22" s="8"/>
      <c r="P22" s="8"/>
      <c r="Q22" s="8"/>
      <c r="R22" s="9"/>
    </row>
    <row r="23" spans="1:18" x14ac:dyDescent="0.3">
      <c r="A23" s="7"/>
      <c r="B23" s="8"/>
      <c r="C23" s="8"/>
      <c r="D23" s="8"/>
      <c r="E23" s="8"/>
      <c r="F23" s="8"/>
      <c r="G23" s="8"/>
      <c r="H23" s="8"/>
      <c r="I23" s="8"/>
      <c r="J23" s="8"/>
      <c r="K23" s="8"/>
      <c r="L23" s="8"/>
      <c r="M23" s="8"/>
      <c r="N23" s="8"/>
      <c r="O23" s="8"/>
      <c r="P23" s="8"/>
      <c r="Q23" s="8"/>
      <c r="R23" s="9"/>
    </row>
    <row r="24" spans="1:18" x14ac:dyDescent="0.3">
      <c r="A24" s="7"/>
      <c r="B24" s="8"/>
      <c r="C24" s="8"/>
      <c r="D24" s="8"/>
      <c r="E24" s="8"/>
      <c r="F24" s="8"/>
      <c r="G24" s="8"/>
      <c r="H24" s="8"/>
      <c r="I24" s="8"/>
      <c r="J24" s="8"/>
      <c r="K24" s="8"/>
      <c r="L24" s="8"/>
      <c r="M24" s="8"/>
      <c r="N24" s="8"/>
      <c r="O24" s="8"/>
      <c r="P24" s="8"/>
      <c r="Q24" s="8"/>
      <c r="R24" s="9"/>
    </row>
    <row r="25" spans="1:18" x14ac:dyDescent="0.3">
      <c r="A25" s="7"/>
      <c r="B25" s="8"/>
      <c r="C25" s="8"/>
      <c r="D25" s="8"/>
      <c r="E25" s="8"/>
      <c r="F25" s="8"/>
      <c r="G25" s="8"/>
      <c r="H25" s="8"/>
      <c r="I25" s="8"/>
      <c r="J25" s="8"/>
      <c r="K25" s="8"/>
      <c r="L25" s="8"/>
      <c r="M25" s="8"/>
      <c r="N25" s="8"/>
      <c r="O25" s="8"/>
      <c r="P25" s="8"/>
      <c r="Q25" s="8"/>
      <c r="R25" s="9"/>
    </row>
    <row r="26" spans="1:18" x14ac:dyDescent="0.3">
      <c r="A26" s="7"/>
      <c r="B26" s="8"/>
      <c r="C26" s="8"/>
      <c r="D26" s="8"/>
      <c r="E26" s="8"/>
      <c r="F26" s="8"/>
      <c r="G26" s="8"/>
      <c r="H26" s="8"/>
      <c r="I26" s="8"/>
      <c r="J26" s="8"/>
      <c r="K26" s="8"/>
      <c r="L26" s="8"/>
      <c r="M26" s="8"/>
      <c r="N26" s="8"/>
      <c r="O26" s="8"/>
      <c r="P26" s="8"/>
      <c r="Q26" s="8"/>
      <c r="R26" s="9"/>
    </row>
    <row r="27" spans="1:18" x14ac:dyDescent="0.3">
      <c r="A27" s="7"/>
      <c r="B27" s="8"/>
      <c r="C27" s="8"/>
      <c r="D27" s="8"/>
      <c r="E27" s="8"/>
      <c r="F27" s="8"/>
      <c r="G27" s="8"/>
      <c r="H27" s="8"/>
      <c r="I27" s="8"/>
      <c r="J27" s="8"/>
      <c r="K27" s="8"/>
      <c r="L27" s="8"/>
      <c r="M27" s="8"/>
      <c r="N27" s="8"/>
      <c r="O27" s="8"/>
      <c r="P27" s="8"/>
      <c r="Q27" s="8"/>
      <c r="R27" s="9"/>
    </row>
    <row r="28" spans="1:18" ht="15" thickBot="1" x14ac:dyDescent="0.35">
      <c r="A28" s="10"/>
      <c r="B28" s="11"/>
      <c r="C28" s="11"/>
      <c r="D28" s="11"/>
      <c r="E28" s="11"/>
      <c r="F28" s="11"/>
      <c r="G28" s="11"/>
      <c r="H28" s="11"/>
      <c r="I28" s="11"/>
      <c r="J28" s="11"/>
      <c r="K28" s="11"/>
      <c r="L28" s="11"/>
      <c r="M28" s="11"/>
      <c r="N28" s="11"/>
      <c r="O28" s="11"/>
      <c r="P28" s="11"/>
      <c r="Q28" s="11"/>
      <c r="R28" s="12"/>
    </row>
  </sheetData>
  <mergeCells count="2">
    <mergeCell ref="A3:R28"/>
    <mergeCell ref="A1: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2CD3F-B24F-4760-98E7-60A077A7AD64}">
  <sheetPr codeName="Sheet3">
    <pageSetUpPr fitToPage="1"/>
  </sheetPr>
  <dimension ref="A1:R28"/>
  <sheetViews>
    <sheetView tabSelected="1" topLeftCell="K1" zoomScaleNormal="100" workbookViewId="0">
      <selection sqref="A1:R2"/>
    </sheetView>
  </sheetViews>
  <sheetFormatPr defaultRowHeight="14.4" x14ac:dyDescent="0.3"/>
  <cols>
    <col min="1" max="1" width="16.5546875" customWidth="1"/>
    <col min="2" max="2" width="16.44140625" customWidth="1"/>
    <col min="3" max="3" width="14.6640625" customWidth="1"/>
    <col min="4" max="4" width="15" customWidth="1"/>
    <col min="5" max="5" width="13.44140625" customWidth="1"/>
    <col min="6" max="6" width="14.5546875" customWidth="1"/>
    <col min="7" max="7" width="13.33203125" customWidth="1"/>
    <col min="8" max="8" width="15.21875" customWidth="1"/>
  </cols>
  <sheetData>
    <row r="1" spans="1:18" ht="14.4" customHeight="1" x14ac:dyDescent="0.3">
      <c r="A1" s="13" t="s">
        <v>61</v>
      </c>
      <c r="B1" s="14"/>
      <c r="C1" s="14"/>
      <c r="D1" s="14"/>
      <c r="E1" s="14"/>
      <c r="F1" s="14"/>
      <c r="G1" s="14"/>
      <c r="H1" s="14"/>
      <c r="I1" s="14"/>
      <c r="J1" s="14"/>
      <c r="K1" s="14"/>
      <c r="L1" s="14"/>
      <c r="M1" s="14"/>
      <c r="N1" s="14"/>
      <c r="O1" s="14"/>
      <c r="P1" s="14"/>
      <c r="Q1" s="14"/>
      <c r="R1" s="15"/>
    </row>
    <row r="2" spans="1:18" ht="14.4" customHeight="1" thickBot="1" x14ac:dyDescent="0.35">
      <c r="A2" s="16"/>
      <c r="B2" s="17"/>
      <c r="C2" s="17"/>
      <c r="D2" s="17"/>
      <c r="E2" s="17"/>
      <c r="F2" s="17"/>
      <c r="G2" s="17"/>
      <c r="H2" s="17"/>
      <c r="I2" s="17"/>
      <c r="J2" s="17"/>
      <c r="K2" s="17"/>
      <c r="L2" s="17"/>
      <c r="M2" s="17"/>
      <c r="N2" s="17"/>
      <c r="O2" s="17"/>
      <c r="P2" s="17"/>
      <c r="Q2" s="17"/>
      <c r="R2" s="18"/>
    </row>
    <row r="3" spans="1:18" x14ac:dyDescent="0.3">
      <c r="A3" s="4"/>
      <c r="B3" s="5"/>
      <c r="C3" s="5"/>
      <c r="D3" s="5"/>
      <c r="E3" s="5"/>
      <c r="F3" s="5"/>
      <c r="G3" s="5"/>
      <c r="H3" s="5"/>
      <c r="I3" s="5"/>
      <c r="J3" s="5"/>
      <c r="K3" s="5"/>
      <c r="L3" s="5"/>
      <c r="M3" s="5"/>
      <c r="N3" s="5"/>
      <c r="O3" s="5"/>
      <c r="P3" s="5"/>
      <c r="Q3" s="5"/>
      <c r="R3" s="6"/>
    </row>
    <row r="4" spans="1:18" x14ac:dyDescent="0.3">
      <c r="A4" s="7"/>
      <c r="B4" s="8"/>
      <c r="C4" s="8"/>
      <c r="D4" s="8"/>
      <c r="E4" s="8"/>
      <c r="F4" s="8"/>
      <c r="G4" s="8"/>
      <c r="H4" s="8"/>
      <c r="I4" s="8"/>
      <c r="J4" s="8"/>
      <c r="K4" s="8"/>
      <c r="L4" s="8"/>
      <c r="M4" s="8"/>
      <c r="N4" s="8"/>
      <c r="O4" s="8"/>
      <c r="P4" s="8"/>
      <c r="Q4" s="8"/>
      <c r="R4" s="9"/>
    </row>
    <row r="5" spans="1:18" x14ac:dyDescent="0.3">
      <c r="A5" s="7"/>
      <c r="B5" s="8"/>
      <c r="C5" s="8"/>
      <c r="D5" s="8"/>
      <c r="E5" s="8"/>
      <c r="F5" s="8"/>
      <c r="G5" s="8"/>
      <c r="H5" s="8"/>
      <c r="I5" s="8"/>
      <c r="J5" s="8"/>
      <c r="K5" s="8"/>
      <c r="L5" s="8"/>
      <c r="M5" s="8"/>
      <c r="N5" s="8"/>
      <c r="O5" s="8"/>
      <c r="P5" s="8"/>
      <c r="Q5" s="8"/>
      <c r="R5" s="9"/>
    </row>
    <row r="6" spans="1:18" x14ac:dyDescent="0.3">
      <c r="A6" s="7"/>
      <c r="B6" s="8"/>
      <c r="C6" s="8"/>
      <c r="D6" s="8"/>
      <c r="E6" s="8"/>
      <c r="F6" s="8"/>
      <c r="G6" s="8"/>
      <c r="H6" s="8"/>
      <c r="I6" s="8"/>
      <c r="J6" s="8"/>
      <c r="K6" s="8"/>
      <c r="L6" s="8"/>
      <c r="M6" s="8"/>
      <c r="N6" s="8"/>
      <c r="O6" s="8"/>
      <c r="P6" s="8"/>
      <c r="Q6" s="8"/>
      <c r="R6" s="9"/>
    </row>
    <row r="7" spans="1:18" x14ac:dyDescent="0.3">
      <c r="A7" s="7"/>
      <c r="B7" s="8"/>
      <c r="C7" s="8"/>
      <c r="D7" s="8"/>
      <c r="E7" s="8"/>
      <c r="F7" s="8"/>
      <c r="G7" s="8"/>
      <c r="H7" s="8"/>
      <c r="I7" s="8"/>
      <c r="J7" s="8"/>
      <c r="K7" s="8"/>
      <c r="L7" s="8"/>
      <c r="M7" s="8"/>
      <c r="N7" s="8"/>
      <c r="O7" s="8"/>
      <c r="P7" s="8"/>
      <c r="Q7" s="8"/>
      <c r="R7" s="9"/>
    </row>
    <row r="8" spans="1:18" x14ac:dyDescent="0.3">
      <c r="A8" s="7"/>
      <c r="B8" s="8"/>
      <c r="C8" s="8"/>
      <c r="D8" s="8"/>
      <c r="E8" s="8"/>
      <c r="F8" s="8"/>
      <c r="G8" s="8"/>
      <c r="H8" s="8"/>
      <c r="I8" s="8"/>
      <c r="J8" s="8"/>
      <c r="K8" s="8"/>
      <c r="L8" s="8"/>
      <c r="M8" s="8"/>
      <c r="N8" s="8"/>
      <c r="O8" s="8"/>
      <c r="P8" s="8"/>
      <c r="Q8" s="8"/>
      <c r="R8" s="9"/>
    </row>
    <row r="9" spans="1:18" x14ac:dyDescent="0.3">
      <c r="A9" s="7"/>
      <c r="B9" s="8"/>
      <c r="C9" s="8"/>
      <c r="D9" s="8"/>
      <c r="E9" s="8"/>
      <c r="F9" s="8"/>
      <c r="G9" s="8"/>
      <c r="H9" s="8"/>
      <c r="I9" s="8"/>
      <c r="J9" s="8"/>
      <c r="K9" s="8"/>
      <c r="L9" s="8"/>
      <c r="M9" s="8"/>
      <c r="N9" s="8"/>
      <c r="O9" s="8"/>
      <c r="P9" s="8"/>
      <c r="Q9" s="8"/>
      <c r="R9" s="9"/>
    </row>
    <row r="10" spans="1:18" x14ac:dyDescent="0.3">
      <c r="A10" s="7"/>
      <c r="B10" s="8"/>
      <c r="C10" s="8"/>
      <c r="D10" s="8"/>
      <c r="E10" s="8"/>
      <c r="F10" s="8"/>
      <c r="G10" s="8"/>
      <c r="H10" s="8"/>
      <c r="I10" s="8"/>
      <c r="J10" s="8"/>
      <c r="K10" s="8"/>
      <c r="L10" s="8"/>
      <c r="M10" s="8"/>
      <c r="N10" s="8"/>
      <c r="O10" s="8"/>
      <c r="P10" s="8"/>
      <c r="Q10" s="8"/>
      <c r="R10" s="9"/>
    </row>
    <row r="11" spans="1:18" x14ac:dyDescent="0.3">
      <c r="A11" s="7"/>
      <c r="B11" s="8"/>
      <c r="C11" s="8"/>
      <c r="D11" s="8"/>
      <c r="E11" s="8"/>
      <c r="F11" s="8"/>
      <c r="G11" s="8"/>
      <c r="H11" s="8"/>
      <c r="I11" s="8"/>
      <c r="J11" s="8"/>
      <c r="K11" s="8"/>
      <c r="L11" s="8"/>
      <c r="M11" s="8"/>
      <c r="N11" s="8"/>
      <c r="O11" s="8"/>
      <c r="P11" s="8"/>
      <c r="Q11" s="8"/>
      <c r="R11" s="9"/>
    </row>
    <row r="12" spans="1:18" x14ac:dyDescent="0.3">
      <c r="A12" s="7"/>
      <c r="B12" s="8"/>
      <c r="C12" s="8"/>
      <c r="D12" s="8"/>
      <c r="E12" s="8"/>
      <c r="F12" s="8"/>
      <c r="G12" s="8"/>
      <c r="H12" s="8"/>
      <c r="I12" s="8"/>
      <c r="J12" s="8"/>
      <c r="K12" s="8"/>
      <c r="L12" s="8"/>
      <c r="M12" s="8"/>
      <c r="N12" s="8"/>
      <c r="O12" s="8"/>
      <c r="P12" s="8"/>
      <c r="Q12" s="8"/>
      <c r="R12" s="9"/>
    </row>
    <row r="13" spans="1:18" x14ac:dyDescent="0.3">
      <c r="A13" s="7"/>
      <c r="B13" s="8"/>
      <c r="C13" s="8"/>
      <c r="D13" s="8"/>
      <c r="E13" s="8"/>
      <c r="F13" s="8"/>
      <c r="G13" s="8"/>
      <c r="H13" s="8"/>
      <c r="I13" s="8"/>
      <c r="J13" s="8"/>
      <c r="K13" s="8"/>
      <c r="L13" s="8"/>
      <c r="M13" s="8"/>
      <c r="N13" s="8"/>
      <c r="O13" s="8"/>
      <c r="P13" s="8"/>
      <c r="Q13" s="8"/>
      <c r="R13" s="9"/>
    </row>
    <row r="14" spans="1:18" x14ac:dyDescent="0.3">
      <c r="A14" s="7"/>
      <c r="B14" s="8"/>
      <c r="C14" s="8"/>
      <c r="D14" s="8"/>
      <c r="E14" s="8"/>
      <c r="F14" s="8"/>
      <c r="G14" s="8"/>
      <c r="H14" s="8"/>
      <c r="I14" s="8"/>
      <c r="J14" s="8"/>
      <c r="K14" s="8"/>
      <c r="L14" s="8"/>
      <c r="M14" s="8"/>
      <c r="N14" s="8"/>
      <c r="O14" s="8"/>
      <c r="P14" s="8"/>
      <c r="Q14" s="8"/>
      <c r="R14" s="9"/>
    </row>
    <row r="15" spans="1:18" x14ac:dyDescent="0.3">
      <c r="A15" s="7"/>
      <c r="B15" s="8"/>
      <c r="C15" s="8"/>
      <c r="D15" s="8"/>
      <c r="E15" s="8"/>
      <c r="F15" s="8"/>
      <c r="G15" s="8"/>
      <c r="H15" s="8"/>
      <c r="I15" s="8"/>
      <c r="J15" s="8"/>
      <c r="K15" s="8"/>
      <c r="L15" s="8"/>
      <c r="M15" s="8"/>
      <c r="N15" s="8"/>
      <c r="O15" s="8"/>
      <c r="P15" s="8"/>
      <c r="Q15" s="8"/>
      <c r="R15" s="9"/>
    </row>
    <row r="16" spans="1:18" x14ac:dyDescent="0.3">
      <c r="A16" s="7"/>
      <c r="B16" s="8"/>
      <c r="C16" s="8"/>
      <c r="D16" s="8"/>
      <c r="E16" s="8"/>
      <c r="F16" s="8"/>
      <c r="G16" s="8"/>
      <c r="H16" s="8"/>
      <c r="I16" s="8"/>
      <c r="J16" s="8"/>
      <c r="K16" s="8"/>
      <c r="L16" s="8"/>
      <c r="M16" s="8"/>
      <c r="N16" s="8"/>
      <c r="O16" s="8"/>
      <c r="P16" s="8"/>
      <c r="Q16" s="8"/>
      <c r="R16" s="9"/>
    </row>
    <row r="17" spans="1:18" x14ac:dyDescent="0.3">
      <c r="A17" s="7"/>
      <c r="B17" s="8"/>
      <c r="C17" s="8"/>
      <c r="D17" s="8"/>
      <c r="E17" s="8"/>
      <c r="F17" s="8"/>
      <c r="G17" s="8"/>
      <c r="H17" s="8"/>
      <c r="I17" s="8"/>
      <c r="J17" s="8"/>
      <c r="K17" s="8"/>
      <c r="L17" s="8"/>
      <c r="M17" s="8"/>
      <c r="N17" s="8"/>
      <c r="O17" s="8"/>
      <c r="P17" s="8"/>
      <c r="Q17" s="8"/>
      <c r="R17" s="9"/>
    </row>
    <row r="18" spans="1:18" x14ac:dyDescent="0.3">
      <c r="A18" s="7"/>
      <c r="B18" s="8"/>
      <c r="C18" s="8"/>
      <c r="D18" s="8"/>
      <c r="E18" s="8"/>
      <c r="F18" s="8"/>
      <c r="G18" s="8"/>
      <c r="H18" s="8"/>
      <c r="I18" s="8"/>
      <c r="J18" s="8"/>
      <c r="K18" s="8"/>
      <c r="L18" s="8"/>
      <c r="M18" s="8"/>
      <c r="N18" s="8"/>
      <c r="O18" s="8"/>
      <c r="P18" s="8"/>
      <c r="Q18" s="8"/>
      <c r="R18" s="9"/>
    </row>
    <row r="19" spans="1:18" x14ac:dyDescent="0.3">
      <c r="A19" s="7"/>
      <c r="B19" s="8"/>
      <c r="C19" s="8"/>
      <c r="D19" s="8"/>
      <c r="E19" s="8"/>
      <c r="F19" s="8"/>
      <c r="G19" s="8"/>
      <c r="H19" s="8"/>
      <c r="I19" s="8"/>
      <c r="J19" s="8"/>
      <c r="K19" s="8"/>
      <c r="L19" s="8"/>
      <c r="M19" s="8"/>
      <c r="N19" s="8"/>
      <c r="O19" s="8"/>
      <c r="P19" s="8"/>
      <c r="Q19" s="8"/>
      <c r="R19" s="9"/>
    </row>
    <row r="20" spans="1:18" x14ac:dyDescent="0.3">
      <c r="A20" s="7"/>
      <c r="B20" s="8"/>
      <c r="C20" s="8"/>
      <c r="D20" s="8"/>
      <c r="E20" s="8"/>
      <c r="F20" s="8"/>
      <c r="G20" s="8"/>
      <c r="H20" s="8"/>
      <c r="I20" s="8"/>
      <c r="J20" s="8"/>
      <c r="K20" s="8"/>
      <c r="L20" s="8"/>
      <c r="M20" s="8"/>
      <c r="N20" s="8"/>
      <c r="O20" s="8"/>
      <c r="P20" s="8"/>
      <c r="Q20" s="8"/>
      <c r="R20" s="9"/>
    </row>
    <row r="21" spans="1:18" x14ac:dyDescent="0.3">
      <c r="A21" s="7"/>
      <c r="B21" s="8"/>
      <c r="C21" s="8"/>
      <c r="D21" s="8"/>
      <c r="E21" s="8"/>
      <c r="F21" s="8"/>
      <c r="G21" s="8"/>
      <c r="H21" s="8"/>
      <c r="I21" s="8"/>
      <c r="J21" s="8"/>
      <c r="K21" s="8"/>
      <c r="L21" s="8"/>
      <c r="M21" s="8"/>
      <c r="N21" s="8"/>
      <c r="O21" s="8"/>
      <c r="P21" s="8"/>
      <c r="Q21" s="8"/>
      <c r="R21" s="9"/>
    </row>
    <row r="22" spans="1:18" x14ac:dyDescent="0.3">
      <c r="A22" s="7"/>
      <c r="B22" s="8"/>
      <c r="C22" s="8"/>
      <c r="D22" s="8"/>
      <c r="E22" s="8"/>
      <c r="F22" s="8"/>
      <c r="G22" s="8"/>
      <c r="H22" s="8"/>
      <c r="I22" s="8"/>
      <c r="J22" s="8"/>
      <c r="K22" s="8"/>
      <c r="L22" s="8"/>
      <c r="M22" s="8"/>
      <c r="N22" s="8"/>
      <c r="O22" s="8"/>
      <c r="P22" s="8"/>
      <c r="Q22" s="8"/>
      <c r="R22" s="9"/>
    </row>
    <row r="23" spans="1:18" x14ac:dyDescent="0.3">
      <c r="A23" s="7"/>
      <c r="B23" s="8"/>
      <c r="C23" s="8"/>
      <c r="D23" s="8"/>
      <c r="E23" s="8"/>
      <c r="F23" s="8"/>
      <c r="G23" s="8"/>
      <c r="H23" s="8"/>
      <c r="I23" s="8"/>
      <c r="J23" s="8"/>
      <c r="K23" s="8"/>
      <c r="L23" s="8"/>
      <c r="M23" s="8"/>
      <c r="N23" s="8"/>
      <c r="O23" s="8"/>
      <c r="P23" s="8"/>
      <c r="Q23" s="8"/>
      <c r="R23" s="9"/>
    </row>
    <row r="24" spans="1:18" x14ac:dyDescent="0.3">
      <c r="A24" s="7"/>
      <c r="B24" s="8"/>
      <c r="C24" s="8"/>
      <c r="D24" s="8"/>
      <c r="E24" s="8"/>
      <c r="F24" s="8"/>
      <c r="G24" s="8"/>
      <c r="H24" s="8"/>
      <c r="I24" s="8"/>
      <c r="J24" s="8"/>
      <c r="K24" s="8"/>
      <c r="L24" s="8"/>
      <c r="M24" s="8"/>
      <c r="N24" s="8"/>
      <c r="O24" s="8"/>
      <c r="P24" s="8"/>
      <c r="Q24" s="8"/>
      <c r="R24" s="9"/>
    </row>
    <row r="25" spans="1:18" x14ac:dyDescent="0.3">
      <c r="A25" s="7"/>
      <c r="B25" s="8"/>
      <c r="C25" s="8"/>
      <c r="D25" s="8"/>
      <c r="E25" s="8"/>
      <c r="F25" s="8"/>
      <c r="G25" s="8"/>
      <c r="H25" s="8"/>
      <c r="I25" s="8"/>
      <c r="J25" s="8"/>
      <c r="K25" s="8"/>
      <c r="L25" s="8"/>
      <c r="M25" s="8"/>
      <c r="N25" s="8"/>
      <c r="O25" s="8"/>
      <c r="P25" s="8"/>
      <c r="Q25" s="8"/>
      <c r="R25" s="9"/>
    </row>
    <row r="26" spans="1:18" x14ac:dyDescent="0.3">
      <c r="A26" s="7"/>
      <c r="B26" s="8"/>
      <c r="C26" s="8"/>
      <c r="D26" s="8"/>
      <c r="E26" s="8"/>
      <c r="F26" s="8"/>
      <c r="G26" s="8"/>
      <c r="H26" s="8"/>
      <c r="I26" s="8"/>
      <c r="J26" s="8"/>
      <c r="K26" s="8"/>
      <c r="L26" s="8"/>
      <c r="M26" s="8"/>
      <c r="N26" s="8"/>
      <c r="O26" s="8"/>
      <c r="P26" s="8"/>
      <c r="Q26" s="8"/>
      <c r="R26" s="9"/>
    </row>
    <row r="27" spans="1:18" x14ac:dyDescent="0.3">
      <c r="A27" s="7"/>
      <c r="B27" s="8"/>
      <c r="C27" s="8"/>
      <c r="D27" s="8"/>
      <c r="E27" s="8"/>
      <c r="F27" s="8"/>
      <c r="G27" s="8"/>
      <c r="H27" s="8"/>
      <c r="I27" s="8"/>
      <c r="J27" s="8"/>
      <c r="K27" s="8"/>
      <c r="L27" s="8"/>
      <c r="M27" s="8"/>
      <c r="N27" s="8"/>
      <c r="O27" s="8"/>
      <c r="P27" s="8"/>
      <c r="Q27" s="8"/>
      <c r="R27" s="9"/>
    </row>
    <row r="28" spans="1:18" ht="15" thickBot="1" x14ac:dyDescent="0.35">
      <c r="A28" s="10"/>
      <c r="B28" s="11"/>
      <c r="C28" s="11"/>
      <c r="D28" s="11"/>
      <c r="E28" s="11"/>
      <c r="F28" s="11"/>
      <c r="G28" s="11"/>
      <c r="H28" s="11"/>
      <c r="I28" s="11"/>
      <c r="J28" s="11"/>
      <c r="K28" s="11"/>
      <c r="L28" s="11"/>
      <c r="M28" s="11"/>
      <c r="N28" s="11"/>
      <c r="O28" s="11"/>
      <c r="P28" s="11"/>
      <c r="Q28" s="11"/>
      <c r="R28" s="12"/>
    </row>
  </sheetData>
  <mergeCells count="2">
    <mergeCell ref="A1:R2"/>
    <mergeCell ref="A3:R28"/>
  </mergeCells>
  <pageMargins left="1" right="1" top="1" bottom="1" header="0.5" footer="0.5"/>
  <pageSetup paperSize="9" scale="38" fitToHeight="0"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8BCBC-302A-43D7-9086-82BDD0BCECFA}">
  <sheetPr codeName="Sheet4"/>
  <dimension ref="A1:P106"/>
  <sheetViews>
    <sheetView topLeftCell="A2" workbookViewId="0">
      <selection activeCell="G19" sqref="A2:P106"/>
    </sheetView>
  </sheetViews>
  <sheetFormatPr defaultRowHeight="14.4" x14ac:dyDescent="0.3"/>
  <cols>
    <col min="1" max="1" width="5" bestFit="1" customWidth="1"/>
    <col min="2" max="2" width="7.109375" bestFit="1" customWidth="1"/>
    <col min="3" max="3" width="9.109375" bestFit="1" customWidth="1"/>
    <col min="4" max="5" width="6.77734375" bestFit="1" customWidth="1"/>
    <col min="6" max="6" width="9.6640625" bestFit="1" customWidth="1"/>
    <col min="7" max="8" width="11.109375" bestFit="1" customWidth="1"/>
    <col min="9" max="9" width="10.5546875" bestFit="1" customWidth="1"/>
    <col min="10" max="10" width="12.33203125" bestFit="1" customWidth="1"/>
    <col min="11" max="11" width="10.5546875" bestFit="1" customWidth="1"/>
    <col min="12" max="12" width="19.77734375" bestFit="1" customWidth="1"/>
    <col min="13" max="15" width="8.33203125" bestFit="1" customWidth="1"/>
    <col min="16" max="16" width="4.2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1141</v>
      </c>
      <c r="B2" t="s">
        <v>16</v>
      </c>
      <c r="C2" t="s">
        <v>17</v>
      </c>
      <c r="D2">
        <v>1</v>
      </c>
      <c r="E2">
        <v>73.47</v>
      </c>
      <c r="F2">
        <v>64</v>
      </c>
      <c r="G2">
        <v>81</v>
      </c>
      <c r="H2">
        <v>87</v>
      </c>
      <c r="I2">
        <v>62</v>
      </c>
      <c r="J2">
        <v>74</v>
      </c>
      <c r="K2">
        <v>71</v>
      </c>
      <c r="L2">
        <v>60</v>
      </c>
      <c r="M2" t="s">
        <v>16</v>
      </c>
      <c r="N2" t="s">
        <v>16</v>
      </c>
      <c r="O2" t="s">
        <v>16</v>
      </c>
      <c r="P2">
        <v>0</v>
      </c>
    </row>
    <row r="3" spans="1:16" x14ac:dyDescent="0.3">
      <c r="A3">
        <v>1142</v>
      </c>
      <c r="B3" t="s">
        <v>16</v>
      </c>
      <c r="C3" t="s">
        <v>18</v>
      </c>
      <c r="D3">
        <v>1</v>
      </c>
      <c r="E3">
        <v>71.22</v>
      </c>
      <c r="F3">
        <v>57</v>
      </c>
      <c r="G3">
        <v>50</v>
      </c>
      <c r="H3">
        <v>51</v>
      </c>
      <c r="I3">
        <v>62</v>
      </c>
      <c r="J3">
        <v>59.5</v>
      </c>
      <c r="K3">
        <v>62</v>
      </c>
      <c r="L3">
        <v>61</v>
      </c>
      <c r="M3" t="s">
        <v>19</v>
      </c>
      <c r="N3" t="s">
        <v>16</v>
      </c>
      <c r="O3" t="s">
        <v>16</v>
      </c>
      <c r="P3">
        <v>0</v>
      </c>
    </row>
    <row r="4" spans="1:16" x14ac:dyDescent="0.3">
      <c r="A4">
        <v>1143</v>
      </c>
      <c r="B4" t="s">
        <v>16</v>
      </c>
      <c r="C4" t="s">
        <v>18</v>
      </c>
      <c r="D4">
        <v>1</v>
      </c>
      <c r="E4">
        <v>74.56</v>
      </c>
      <c r="F4">
        <v>47</v>
      </c>
      <c r="G4">
        <v>48</v>
      </c>
      <c r="H4">
        <v>71</v>
      </c>
      <c r="I4">
        <v>62</v>
      </c>
      <c r="J4">
        <v>61</v>
      </c>
      <c r="K4">
        <v>68</v>
      </c>
      <c r="L4">
        <v>64</v>
      </c>
      <c r="M4" t="s">
        <v>20</v>
      </c>
      <c r="N4" t="s">
        <v>16</v>
      </c>
      <c r="O4" t="s">
        <v>16</v>
      </c>
      <c r="P4">
        <v>1</v>
      </c>
    </row>
    <row r="5" spans="1:16" x14ac:dyDescent="0.3">
      <c r="A5">
        <v>1144</v>
      </c>
      <c r="B5" t="s">
        <v>16</v>
      </c>
      <c r="C5" t="s">
        <v>18</v>
      </c>
      <c r="D5">
        <v>1</v>
      </c>
      <c r="E5">
        <v>72.89</v>
      </c>
      <c r="F5">
        <v>46</v>
      </c>
      <c r="G5">
        <v>72</v>
      </c>
      <c r="H5">
        <v>41</v>
      </c>
      <c r="I5">
        <v>62</v>
      </c>
      <c r="J5">
        <v>59.5</v>
      </c>
      <c r="K5">
        <v>54</v>
      </c>
      <c r="L5">
        <v>51</v>
      </c>
      <c r="M5" t="s">
        <v>21</v>
      </c>
      <c r="N5" t="s">
        <v>16</v>
      </c>
      <c r="O5" t="s">
        <v>16</v>
      </c>
      <c r="P5">
        <v>0</v>
      </c>
    </row>
    <row r="6" spans="1:16" x14ac:dyDescent="0.3">
      <c r="A6">
        <v>1145</v>
      </c>
      <c r="B6" t="s">
        <v>16</v>
      </c>
      <c r="C6" t="s">
        <v>18</v>
      </c>
      <c r="D6">
        <v>1</v>
      </c>
      <c r="E6">
        <v>70.11</v>
      </c>
      <c r="F6">
        <v>49</v>
      </c>
      <c r="G6">
        <v>45</v>
      </c>
      <c r="H6">
        <v>63</v>
      </c>
      <c r="I6">
        <v>62</v>
      </c>
      <c r="J6">
        <v>66</v>
      </c>
      <c r="K6">
        <v>66</v>
      </c>
      <c r="L6">
        <v>61</v>
      </c>
      <c r="M6" t="s">
        <v>22</v>
      </c>
      <c r="N6" t="s">
        <v>16</v>
      </c>
      <c r="O6" t="s">
        <v>16</v>
      </c>
      <c r="P6">
        <v>0</v>
      </c>
    </row>
    <row r="7" spans="1:16" x14ac:dyDescent="0.3">
      <c r="A7">
        <v>1146</v>
      </c>
      <c r="B7" t="s">
        <v>16</v>
      </c>
      <c r="C7" t="s">
        <v>17</v>
      </c>
      <c r="D7">
        <v>1</v>
      </c>
      <c r="E7">
        <v>67.400000000000006</v>
      </c>
      <c r="F7">
        <v>60</v>
      </c>
      <c r="G7">
        <v>60</v>
      </c>
      <c r="H7">
        <v>41</v>
      </c>
      <c r="I7">
        <v>62</v>
      </c>
      <c r="J7">
        <v>65</v>
      </c>
      <c r="K7">
        <v>74</v>
      </c>
      <c r="L7">
        <v>60</v>
      </c>
      <c r="M7" t="s">
        <v>23</v>
      </c>
      <c r="N7" t="s">
        <v>19</v>
      </c>
      <c r="O7" t="s">
        <v>20</v>
      </c>
      <c r="P7">
        <v>0</v>
      </c>
    </row>
    <row r="8" spans="1:16" x14ac:dyDescent="0.3">
      <c r="A8">
        <v>1147</v>
      </c>
      <c r="B8" t="s">
        <v>16</v>
      </c>
      <c r="C8" t="s">
        <v>17</v>
      </c>
      <c r="D8">
        <v>1</v>
      </c>
      <c r="E8">
        <v>77.11</v>
      </c>
      <c r="F8">
        <v>60</v>
      </c>
      <c r="G8">
        <v>43</v>
      </c>
      <c r="H8">
        <v>52</v>
      </c>
      <c r="I8">
        <v>63</v>
      </c>
      <c r="J8">
        <v>71</v>
      </c>
      <c r="K8">
        <v>72</v>
      </c>
      <c r="L8">
        <v>75</v>
      </c>
      <c r="M8" t="s">
        <v>24</v>
      </c>
      <c r="N8" t="s">
        <v>16</v>
      </c>
      <c r="O8" t="s">
        <v>16</v>
      </c>
      <c r="P8">
        <v>1</v>
      </c>
    </row>
    <row r="9" spans="1:16" x14ac:dyDescent="0.3">
      <c r="A9">
        <v>1148</v>
      </c>
      <c r="B9" t="s">
        <v>16</v>
      </c>
      <c r="C9" t="s">
        <v>18</v>
      </c>
      <c r="D9">
        <v>1</v>
      </c>
      <c r="E9">
        <v>67.400000000000006</v>
      </c>
      <c r="F9">
        <v>60</v>
      </c>
      <c r="G9">
        <v>40</v>
      </c>
      <c r="H9">
        <v>60</v>
      </c>
      <c r="I9">
        <v>63</v>
      </c>
      <c r="J9">
        <v>70</v>
      </c>
      <c r="K9">
        <v>68</v>
      </c>
      <c r="L9">
        <v>51</v>
      </c>
      <c r="M9" t="s">
        <v>25</v>
      </c>
      <c r="N9" t="s">
        <v>19</v>
      </c>
      <c r="O9" t="s">
        <v>20</v>
      </c>
      <c r="P9">
        <v>0</v>
      </c>
    </row>
    <row r="10" spans="1:16" x14ac:dyDescent="0.3">
      <c r="A10">
        <v>1149</v>
      </c>
      <c r="B10" t="s">
        <v>19</v>
      </c>
      <c r="C10" t="s">
        <v>18</v>
      </c>
      <c r="D10">
        <v>1</v>
      </c>
      <c r="E10">
        <v>77.92</v>
      </c>
      <c r="F10">
        <v>61</v>
      </c>
      <c r="G10">
        <v>60</v>
      </c>
      <c r="H10">
        <v>66</v>
      </c>
      <c r="I10">
        <v>68</v>
      </c>
      <c r="J10">
        <v>80</v>
      </c>
      <c r="K10">
        <v>78</v>
      </c>
      <c r="L10">
        <v>71</v>
      </c>
      <c r="M10" t="s">
        <v>26</v>
      </c>
      <c r="N10" t="s">
        <v>19</v>
      </c>
      <c r="O10" t="s">
        <v>16</v>
      </c>
      <c r="P10">
        <v>0</v>
      </c>
    </row>
    <row r="11" spans="1:16" x14ac:dyDescent="0.3">
      <c r="A11">
        <v>1150</v>
      </c>
      <c r="B11" t="s">
        <v>16</v>
      </c>
      <c r="C11" t="s">
        <v>18</v>
      </c>
      <c r="D11">
        <v>1</v>
      </c>
      <c r="E11">
        <v>76.5</v>
      </c>
      <c r="F11">
        <v>60</v>
      </c>
      <c r="G11">
        <v>61</v>
      </c>
      <c r="H11">
        <v>60</v>
      </c>
      <c r="I11">
        <v>69</v>
      </c>
      <c r="J11">
        <v>73</v>
      </c>
      <c r="K11">
        <v>60</v>
      </c>
      <c r="L11">
        <v>62</v>
      </c>
      <c r="M11" t="s">
        <v>25</v>
      </c>
      <c r="N11" t="s">
        <v>19</v>
      </c>
      <c r="O11" t="s">
        <v>16</v>
      </c>
      <c r="P11">
        <v>0</v>
      </c>
    </row>
    <row r="12" spans="1:16" x14ac:dyDescent="0.3">
      <c r="A12">
        <v>1151</v>
      </c>
      <c r="B12" t="s">
        <v>16</v>
      </c>
      <c r="C12" t="s">
        <v>17</v>
      </c>
      <c r="D12">
        <v>1</v>
      </c>
      <c r="E12">
        <v>76.83</v>
      </c>
      <c r="F12">
        <v>61</v>
      </c>
      <c r="G12">
        <v>66</v>
      </c>
      <c r="H12">
        <v>61</v>
      </c>
      <c r="I12">
        <v>69</v>
      </c>
      <c r="J12">
        <v>65</v>
      </c>
      <c r="K12">
        <v>69</v>
      </c>
      <c r="L12">
        <v>67</v>
      </c>
      <c r="M12" t="s">
        <v>25</v>
      </c>
      <c r="N12" t="s">
        <v>19</v>
      </c>
      <c r="O12" t="s">
        <v>16</v>
      </c>
      <c r="P12">
        <v>0</v>
      </c>
    </row>
    <row r="13" spans="1:16" x14ac:dyDescent="0.3">
      <c r="A13">
        <v>1152</v>
      </c>
      <c r="B13" t="s">
        <v>19</v>
      </c>
      <c r="C13" t="s">
        <v>18</v>
      </c>
      <c r="D13">
        <v>1</v>
      </c>
      <c r="E13">
        <v>83.65</v>
      </c>
      <c r="F13">
        <v>73</v>
      </c>
      <c r="G13">
        <v>75</v>
      </c>
      <c r="H13">
        <v>76</v>
      </c>
      <c r="I13">
        <v>71</v>
      </c>
      <c r="J13">
        <v>85</v>
      </c>
      <c r="K13">
        <v>74</v>
      </c>
      <c r="L13">
        <v>89</v>
      </c>
      <c r="M13" t="s">
        <v>27</v>
      </c>
      <c r="N13" t="s">
        <v>19</v>
      </c>
      <c r="O13" t="s">
        <v>16</v>
      </c>
      <c r="P13">
        <v>0</v>
      </c>
    </row>
    <row r="14" spans="1:16" x14ac:dyDescent="0.3">
      <c r="A14">
        <v>1153</v>
      </c>
      <c r="B14" t="s">
        <v>19</v>
      </c>
      <c r="C14" t="s">
        <v>18</v>
      </c>
      <c r="D14">
        <v>1</v>
      </c>
      <c r="E14">
        <v>77</v>
      </c>
      <c r="F14">
        <v>70</v>
      </c>
      <c r="G14">
        <v>60</v>
      </c>
      <c r="H14">
        <v>71</v>
      </c>
      <c r="I14">
        <v>71</v>
      </c>
      <c r="J14">
        <v>87</v>
      </c>
      <c r="K14">
        <v>68</v>
      </c>
      <c r="L14">
        <v>61</v>
      </c>
      <c r="M14" t="s">
        <v>28</v>
      </c>
      <c r="N14" t="s">
        <v>19</v>
      </c>
      <c r="O14" t="s">
        <v>21</v>
      </c>
      <c r="P14">
        <v>0</v>
      </c>
    </row>
    <row r="15" spans="1:16" x14ac:dyDescent="0.3">
      <c r="A15">
        <v>1154</v>
      </c>
      <c r="B15" t="s">
        <v>16</v>
      </c>
      <c r="C15" t="s">
        <v>17</v>
      </c>
      <c r="D15">
        <v>1</v>
      </c>
      <c r="E15">
        <v>80.08</v>
      </c>
      <c r="F15">
        <v>67</v>
      </c>
      <c r="G15">
        <v>65</v>
      </c>
      <c r="H15">
        <v>74</v>
      </c>
      <c r="I15">
        <v>73</v>
      </c>
      <c r="J15">
        <v>87</v>
      </c>
      <c r="K15">
        <v>68</v>
      </c>
      <c r="L15">
        <v>76</v>
      </c>
      <c r="M15" t="s">
        <v>22</v>
      </c>
      <c r="N15" t="s">
        <v>19</v>
      </c>
      <c r="O15" t="s">
        <v>16</v>
      </c>
      <c r="P15">
        <v>2</v>
      </c>
    </row>
    <row r="16" spans="1:16" x14ac:dyDescent="0.3">
      <c r="A16">
        <v>1155</v>
      </c>
      <c r="B16" t="s">
        <v>16</v>
      </c>
      <c r="C16" t="s">
        <v>17</v>
      </c>
      <c r="D16">
        <v>1</v>
      </c>
      <c r="E16">
        <v>81.67</v>
      </c>
      <c r="F16">
        <v>73</v>
      </c>
      <c r="G16">
        <v>60</v>
      </c>
      <c r="H16">
        <v>55</v>
      </c>
      <c r="I16">
        <v>76</v>
      </c>
      <c r="J16">
        <v>77</v>
      </c>
      <c r="K16">
        <v>74</v>
      </c>
      <c r="L16">
        <v>64</v>
      </c>
      <c r="M16" t="s">
        <v>29</v>
      </c>
      <c r="N16" t="s">
        <v>16</v>
      </c>
      <c r="O16" t="s">
        <v>16</v>
      </c>
      <c r="P16">
        <v>2</v>
      </c>
    </row>
    <row r="17" spans="1:16" x14ac:dyDescent="0.3">
      <c r="A17">
        <v>1156</v>
      </c>
      <c r="B17" t="s">
        <v>19</v>
      </c>
      <c r="C17" t="s">
        <v>18</v>
      </c>
      <c r="D17">
        <v>1</v>
      </c>
      <c r="E17">
        <v>82.07</v>
      </c>
      <c r="F17">
        <v>72</v>
      </c>
      <c r="G17">
        <v>63</v>
      </c>
      <c r="H17">
        <v>70</v>
      </c>
      <c r="I17">
        <v>76</v>
      </c>
      <c r="J17">
        <v>81</v>
      </c>
      <c r="K17">
        <v>86</v>
      </c>
      <c r="L17">
        <v>73</v>
      </c>
      <c r="M17" t="s">
        <v>22</v>
      </c>
      <c r="N17" t="s">
        <v>19</v>
      </c>
      <c r="O17" t="s">
        <v>16</v>
      </c>
      <c r="P17">
        <v>2</v>
      </c>
    </row>
    <row r="18" spans="1:16" x14ac:dyDescent="0.3">
      <c r="A18">
        <v>1157</v>
      </c>
      <c r="B18" t="s">
        <v>16</v>
      </c>
      <c r="C18" t="s">
        <v>17</v>
      </c>
      <c r="D18">
        <v>1</v>
      </c>
      <c r="E18">
        <v>74.11</v>
      </c>
      <c r="F18">
        <v>74</v>
      </c>
      <c r="G18">
        <v>70</v>
      </c>
      <c r="H18">
        <v>61</v>
      </c>
      <c r="I18">
        <v>76</v>
      </c>
      <c r="J18">
        <v>68</v>
      </c>
      <c r="K18">
        <v>57</v>
      </c>
      <c r="L18">
        <v>61</v>
      </c>
      <c r="M18" t="s">
        <v>30</v>
      </c>
      <c r="N18" t="s">
        <v>19</v>
      </c>
      <c r="O18" t="s">
        <v>16</v>
      </c>
      <c r="P18">
        <v>2</v>
      </c>
    </row>
    <row r="19" spans="1:16" x14ac:dyDescent="0.3">
      <c r="A19">
        <v>1158</v>
      </c>
      <c r="B19" t="s">
        <v>16</v>
      </c>
      <c r="C19" t="s">
        <v>17</v>
      </c>
      <c r="D19">
        <v>1</v>
      </c>
      <c r="E19">
        <v>81.5</v>
      </c>
      <c r="F19">
        <v>68</v>
      </c>
      <c r="G19">
        <v>67</v>
      </c>
      <c r="H19">
        <v>55</v>
      </c>
      <c r="I19">
        <v>76</v>
      </c>
      <c r="J19">
        <v>85</v>
      </c>
      <c r="K19">
        <v>75</v>
      </c>
      <c r="L19">
        <v>87</v>
      </c>
      <c r="M19" t="s">
        <v>19</v>
      </c>
      <c r="N19" t="s">
        <v>16</v>
      </c>
      <c r="O19" t="s">
        <v>16</v>
      </c>
      <c r="P19">
        <v>0</v>
      </c>
    </row>
    <row r="20" spans="1:16" x14ac:dyDescent="0.3">
      <c r="A20">
        <v>1159</v>
      </c>
      <c r="B20" t="s">
        <v>19</v>
      </c>
      <c r="C20" t="s">
        <v>17</v>
      </c>
      <c r="D20">
        <v>1</v>
      </c>
      <c r="E20">
        <v>75.64</v>
      </c>
      <c r="F20">
        <v>60</v>
      </c>
      <c r="G20">
        <v>68</v>
      </c>
      <c r="H20">
        <v>54</v>
      </c>
      <c r="I20">
        <v>76</v>
      </c>
      <c r="J20">
        <v>76</v>
      </c>
      <c r="K20">
        <v>76</v>
      </c>
      <c r="L20">
        <v>64</v>
      </c>
      <c r="M20" t="s">
        <v>31</v>
      </c>
      <c r="N20" t="s">
        <v>19</v>
      </c>
      <c r="O20" t="s">
        <v>16</v>
      </c>
      <c r="P20">
        <v>0</v>
      </c>
    </row>
    <row r="21" spans="1:16" x14ac:dyDescent="0.3">
      <c r="A21">
        <v>1160</v>
      </c>
      <c r="B21" t="s">
        <v>16</v>
      </c>
      <c r="C21" t="s">
        <v>17</v>
      </c>
      <c r="D21">
        <v>1</v>
      </c>
      <c r="E21">
        <v>76.459999999999994</v>
      </c>
      <c r="F21">
        <v>67</v>
      </c>
      <c r="G21">
        <v>73</v>
      </c>
      <c r="H21">
        <v>64</v>
      </c>
      <c r="I21">
        <v>78</v>
      </c>
      <c r="J21">
        <v>83</v>
      </c>
      <c r="K21">
        <v>76</v>
      </c>
      <c r="L21">
        <v>64</v>
      </c>
      <c r="M21" t="s">
        <v>32</v>
      </c>
      <c r="N21" t="s">
        <v>19</v>
      </c>
      <c r="O21" t="s">
        <v>19</v>
      </c>
      <c r="P21">
        <v>2</v>
      </c>
    </row>
    <row r="22" spans="1:16" x14ac:dyDescent="0.3">
      <c r="A22">
        <v>1161</v>
      </c>
      <c r="B22" t="s">
        <v>19</v>
      </c>
      <c r="C22" t="s">
        <v>17</v>
      </c>
      <c r="D22">
        <v>1</v>
      </c>
      <c r="E22">
        <v>75.569999999999993</v>
      </c>
      <c r="F22">
        <v>63</v>
      </c>
      <c r="G22">
        <v>64</v>
      </c>
      <c r="H22">
        <v>71</v>
      </c>
      <c r="I22">
        <v>78</v>
      </c>
      <c r="J22">
        <v>69</v>
      </c>
      <c r="K22">
        <v>76</v>
      </c>
      <c r="L22">
        <v>62</v>
      </c>
      <c r="M22" t="s">
        <v>26</v>
      </c>
      <c r="N22" t="s">
        <v>19</v>
      </c>
      <c r="O22" t="s">
        <v>16</v>
      </c>
      <c r="P22">
        <v>2</v>
      </c>
    </row>
    <row r="23" spans="1:16" x14ac:dyDescent="0.3">
      <c r="A23">
        <v>1162</v>
      </c>
      <c r="B23" t="s">
        <v>19</v>
      </c>
      <c r="C23" t="s">
        <v>17</v>
      </c>
      <c r="D23">
        <v>1</v>
      </c>
      <c r="E23">
        <v>83.13</v>
      </c>
      <c r="F23">
        <v>82</v>
      </c>
      <c r="G23">
        <v>82</v>
      </c>
      <c r="H23">
        <v>92</v>
      </c>
      <c r="I23">
        <v>78</v>
      </c>
      <c r="J23">
        <v>92</v>
      </c>
      <c r="K23">
        <v>83</v>
      </c>
      <c r="L23">
        <v>78</v>
      </c>
      <c r="M23" t="s">
        <v>31</v>
      </c>
      <c r="N23" t="s">
        <v>19</v>
      </c>
      <c r="O23" t="s">
        <v>16</v>
      </c>
      <c r="P23">
        <v>0</v>
      </c>
    </row>
    <row r="24" spans="1:16" x14ac:dyDescent="0.3">
      <c r="A24">
        <v>1163</v>
      </c>
      <c r="B24" t="s">
        <v>19</v>
      </c>
      <c r="C24" t="s">
        <v>18</v>
      </c>
      <c r="D24">
        <v>1</v>
      </c>
      <c r="E24">
        <v>79.7</v>
      </c>
      <c r="F24">
        <v>72</v>
      </c>
      <c r="G24">
        <v>68</v>
      </c>
      <c r="H24">
        <v>55</v>
      </c>
      <c r="I24">
        <v>78</v>
      </c>
      <c r="J24">
        <v>77</v>
      </c>
      <c r="K24">
        <v>68</v>
      </c>
      <c r="L24">
        <v>71</v>
      </c>
      <c r="M24" t="s">
        <v>19</v>
      </c>
      <c r="N24" t="s">
        <v>19</v>
      </c>
      <c r="O24" t="s">
        <v>21</v>
      </c>
      <c r="P24">
        <v>0</v>
      </c>
    </row>
    <row r="25" spans="1:16" x14ac:dyDescent="0.3">
      <c r="A25">
        <v>1164</v>
      </c>
      <c r="B25" t="s">
        <v>16</v>
      </c>
      <c r="C25" t="s">
        <v>18</v>
      </c>
      <c r="D25">
        <v>1</v>
      </c>
      <c r="E25">
        <v>83.98</v>
      </c>
      <c r="F25">
        <v>71</v>
      </c>
      <c r="G25">
        <v>73</v>
      </c>
      <c r="H25">
        <v>83</v>
      </c>
      <c r="I25">
        <v>79</v>
      </c>
      <c r="J25">
        <v>88</v>
      </c>
      <c r="K25">
        <v>87</v>
      </c>
      <c r="L25">
        <v>81</v>
      </c>
      <c r="M25" t="s">
        <v>23</v>
      </c>
      <c r="N25" t="s">
        <v>19</v>
      </c>
      <c r="O25" t="s">
        <v>16</v>
      </c>
      <c r="P25">
        <v>0</v>
      </c>
    </row>
    <row r="26" spans="1:16" x14ac:dyDescent="0.3">
      <c r="A26">
        <v>1165</v>
      </c>
      <c r="B26" t="s">
        <v>16</v>
      </c>
      <c r="C26" t="s">
        <v>17</v>
      </c>
      <c r="D26">
        <v>1</v>
      </c>
      <c r="E26">
        <v>79.56</v>
      </c>
      <c r="F26">
        <v>64</v>
      </c>
      <c r="G26">
        <v>62</v>
      </c>
      <c r="H26">
        <v>76</v>
      </c>
      <c r="I26">
        <v>80</v>
      </c>
      <c r="J26">
        <v>81</v>
      </c>
      <c r="K26">
        <v>80</v>
      </c>
      <c r="L26">
        <v>74</v>
      </c>
      <c r="M26" t="s">
        <v>23</v>
      </c>
      <c r="N26" t="s">
        <v>19</v>
      </c>
      <c r="O26" t="s">
        <v>20</v>
      </c>
      <c r="P26">
        <v>0</v>
      </c>
    </row>
    <row r="27" spans="1:16" x14ac:dyDescent="0.3">
      <c r="A27">
        <v>1166</v>
      </c>
      <c r="B27" t="s">
        <v>16</v>
      </c>
      <c r="C27" t="s">
        <v>18</v>
      </c>
      <c r="D27">
        <v>1</v>
      </c>
      <c r="E27">
        <v>78.540000000000006</v>
      </c>
      <c r="F27">
        <v>76</v>
      </c>
      <c r="G27">
        <v>67</v>
      </c>
      <c r="H27">
        <v>71</v>
      </c>
      <c r="I27">
        <v>80</v>
      </c>
      <c r="J27">
        <v>71</v>
      </c>
      <c r="K27">
        <v>83</v>
      </c>
      <c r="L27">
        <v>67</v>
      </c>
      <c r="M27" t="s">
        <v>33</v>
      </c>
      <c r="N27" t="s">
        <v>16</v>
      </c>
      <c r="O27" t="s">
        <v>21</v>
      </c>
      <c r="P27">
        <v>0</v>
      </c>
    </row>
    <row r="28" spans="1:16" x14ac:dyDescent="0.3">
      <c r="A28">
        <v>1167</v>
      </c>
      <c r="B28" t="s">
        <v>19</v>
      </c>
      <c r="C28" t="s">
        <v>18</v>
      </c>
      <c r="D28">
        <v>1</v>
      </c>
      <c r="E28">
        <v>77.760000000000005</v>
      </c>
      <c r="F28">
        <v>67</v>
      </c>
      <c r="G28">
        <v>46</v>
      </c>
      <c r="H28">
        <v>71</v>
      </c>
      <c r="I28">
        <v>80</v>
      </c>
      <c r="J28">
        <v>82</v>
      </c>
      <c r="K28">
        <v>69</v>
      </c>
      <c r="L28">
        <v>64</v>
      </c>
      <c r="M28" t="s">
        <v>33</v>
      </c>
      <c r="N28" t="s">
        <v>19</v>
      </c>
      <c r="O28" t="s">
        <v>16</v>
      </c>
      <c r="P28">
        <v>0</v>
      </c>
    </row>
    <row r="29" spans="1:16" x14ac:dyDescent="0.3">
      <c r="A29">
        <v>1168</v>
      </c>
      <c r="B29" t="s">
        <v>16</v>
      </c>
      <c r="C29" t="s">
        <v>18</v>
      </c>
      <c r="D29">
        <v>1</v>
      </c>
      <c r="E29">
        <v>83.06</v>
      </c>
      <c r="F29">
        <v>68</v>
      </c>
      <c r="G29">
        <v>72</v>
      </c>
      <c r="H29">
        <v>71</v>
      </c>
      <c r="I29">
        <v>81</v>
      </c>
      <c r="J29">
        <v>86</v>
      </c>
      <c r="K29">
        <v>81</v>
      </c>
      <c r="L29">
        <v>70</v>
      </c>
      <c r="M29" t="s">
        <v>23</v>
      </c>
      <c r="N29" t="s">
        <v>19</v>
      </c>
      <c r="O29" t="s">
        <v>16</v>
      </c>
      <c r="P29">
        <v>0</v>
      </c>
    </row>
    <row r="30" spans="1:16" x14ac:dyDescent="0.3">
      <c r="A30">
        <v>1169</v>
      </c>
      <c r="B30" t="s">
        <v>16</v>
      </c>
      <c r="C30" t="s">
        <v>17</v>
      </c>
      <c r="D30">
        <v>1</v>
      </c>
      <c r="E30">
        <v>84.04</v>
      </c>
      <c r="F30">
        <v>73</v>
      </c>
      <c r="G30">
        <v>80</v>
      </c>
      <c r="H30">
        <v>85</v>
      </c>
      <c r="I30">
        <v>83</v>
      </c>
      <c r="J30">
        <v>79</v>
      </c>
      <c r="K30">
        <v>73</v>
      </c>
      <c r="L30">
        <v>62</v>
      </c>
      <c r="M30" t="s">
        <v>34</v>
      </c>
      <c r="N30" t="s">
        <v>19</v>
      </c>
      <c r="O30" t="s">
        <v>35</v>
      </c>
      <c r="P30">
        <v>0</v>
      </c>
    </row>
    <row r="31" spans="1:16" x14ac:dyDescent="0.3">
      <c r="A31">
        <v>1170</v>
      </c>
      <c r="B31" t="s">
        <v>16</v>
      </c>
      <c r="C31" t="s">
        <v>18</v>
      </c>
      <c r="D31">
        <v>1</v>
      </c>
      <c r="E31">
        <v>85.29</v>
      </c>
      <c r="F31">
        <v>77</v>
      </c>
      <c r="G31">
        <v>64</v>
      </c>
      <c r="H31">
        <v>64</v>
      </c>
      <c r="I31">
        <v>83</v>
      </c>
      <c r="J31">
        <v>95</v>
      </c>
      <c r="K31">
        <v>80</v>
      </c>
      <c r="L31">
        <v>88</v>
      </c>
      <c r="M31" t="s">
        <v>36</v>
      </c>
      <c r="N31" t="s">
        <v>16</v>
      </c>
      <c r="O31" t="s">
        <v>16</v>
      </c>
      <c r="P31">
        <v>2</v>
      </c>
    </row>
    <row r="32" spans="1:16" x14ac:dyDescent="0.3">
      <c r="A32">
        <v>1171</v>
      </c>
      <c r="B32" t="s">
        <v>19</v>
      </c>
      <c r="C32" t="s">
        <v>18</v>
      </c>
      <c r="D32">
        <v>1</v>
      </c>
      <c r="E32">
        <v>85.04</v>
      </c>
      <c r="F32">
        <v>76</v>
      </c>
      <c r="G32">
        <v>75</v>
      </c>
      <c r="H32">
        <v>85</v>
      </c>
      <c r="I32">
        <v>83</v>
      </c>
      <c r="J32">
        <v>88</v>
      </c>
      <c r="K32">
        <v>82</v>
      </c>
      <c r="L32">
        <v>69</v>
      </c>
      <c r="M32" t="s">
        <v>27</v>
      </c>
      <c r="N32" t="s">
        <v>19</v>
      </c>
      <c r="O32" t="s">
        <v>16</v>
      </c>
      <c r="P32">
        <v>0</v>
      </c>
    </row>
    <row r="33" spans="1:16" x14ac:dyDescent="0.3">
      <c r="A33">
        <v>1172</v>
      </c>
      <c r="B33" t="s">
        <v>16</v>
      </c>
      <c r="C33" t="s">
        <v>17</v>
      </c>
      <c r="D33">
        <v>1</v>
      </c>
      <c r="E33">
        <v>87.04</v>
      </c>
      <c r="F33">
        <v>87</v>
      </c>
      <c r="G33">
        <v>98</v>
      </c>
      <c r="H33">
        <v>93</v>
      </c>
      <c r="I33">
        <v>83</v>
      </c>
      <c r="J33">
        <v>95</v>
      </c>
      <c r="K33">
        <v>87</v>
      </c>
      <c r="L33">
        <v>79</v>
      </c>
      <c r="M33" t="s">
        <v>19</v>
      </c>
      <c r="N33" t="s">
        <v>19</v>
      </c>
      <c r="O33" t="s">
        <v>19</v>
      </c>
      <c r="P33">
        <v>0</v>
      </c>
    </row>
    <row r="34" spans="1:16" x14ac:dyDescent="0.3">
      <c r="A34">
        <v>1173</v>
      </c>
      <c r="B34" t="s">
        <v>16</v>
      </c>
      <c r="C34" t="s">
        <v>17</v>
      </c>
      <c r="D34">
        <v>1</v>
      </c>
      <c r="E34">
        <v>74.17</v>
      </c>
      <c r="F34">
        <v>63</v>
      </c>
      <c r="G34">
        <v>73</v>
      </c>
      <c r="H34">
        <v>61</v>
      </c>
      <c r="I34">
        <v>83</v>
      </c>
      <c r="J34">
        <v>72</v>
      </c>
      <c r="K34">
        <v>55</v>
      </c>
      <c r="L34">
        <v>62</v>
      </c>
      <c r="M34" t="s">
        <v>20</v>
      </c>
      <c r="N34" t="s">
        <v>16</v>
      </c>
      <c r="O34" t="s">
        <v>16</v>
      </c>
      <c r="P34">
        <v>0</v>
      </c>
    </row>
    <row r="35" spans="1:16" x14ac:dyDescent="0.3">
      <c r="A35">
        <v>1174</v>
      </c>
      <c r="B35" t="s">
        <v>16</v>
      </c>
      <c r="C35" t="s">
        <v>17</v>
      </c>
      <c r="D35">
        <v>1</v>
      </c>
      <c r="E35">
        <v>82.71</v>
      </c>
      <c r="F35">
        <v>82</v>
      </c>
      <c r="G35">
        <v>90</v>
      </c>
      <c r="H35">
        <v>90</v>
      </c>
      <c r="I35">
        <v>83</v>
      </c>
      <c r="J35">
        <v>77</v>
      </c>
      <c r="K35">
        <v>79</v>
      </c>
      <c r="L35">
        <v>70</v>
      </c>
      <c r="M35" t="s">
        <v>34</v>
      </c>
      <c r="N35" t="s">
        <v>19</v>
      </c>
      <c r="O35" t="s">
        <v>19</v>
      </c>
      <c r="P35">
        <v>0</v>
      </c>
    </row>
    <row r="36" spans="1:16" x14ac:dyDescent="0.3">
      <c r="A36">
        <v>1175</v>
      </c>
      <c r="B36" t="s">
        <v>16</v>
      </c>
      <c r="C36" t="s">
        <v>18</v>
      </c>
      <c r="D36">
        <v>1</v>
      </c>
      <c r="E36">
        <v>81.290000000000006</v>
      </c>
      <c r="F36">
        <v>67</v>
      </c>
      <c r="G36">
        <v>62</v>
      </c>
      <c r="H36">
        <v>85</v>
      </c>
      <c r="I36">
        <v>83</v>
      </c>
      <c r="J36">
        <v>82</v>
      </c>
      <c r="K36">
        <v>83</v>
      </c>
      <c r="L36">
        <v>64</v>
      </c>
      <c r="M36" t="s">
        <v>21</v>
      </c>
      <c r="N36" t="s">
        <v>16</v>
      </c>
      <c r="O36" t="s">
        <v>16</v>
      </c>
      <c r="P36">
        <v>0</v>
      </c>
    </row>
    <row r="37" spans="1:16" x14ac:dyDescent="0.3">
      <c r="A37">
        <v>1176</v>
      </c>
      <c r="B37" t="s">
        <v>16</v>
      </c>
      <c r="C37" t="s">
        <v>18</v>
      </c>
      <c r="D37">
        <v>1</v>
      </c>
      <c r="E37">
        <v>85.55</v>
      </c>
      <c r="F37">
        <v>69</v>
      </c>
      <c r="G37">
        <v>83</v>
      </c>
      <c r="H37">
        <v>73</v>
      </c>
      <c r="I37">
        <v>83</v>
      </c>
      <c r="J37">
        <v>85</v>
      </c>
      <c r="K37">
        <v>67</v>
      </c>
      <c r="L37">
        <v>81</v>
      </c>
      <c r="M37" t="s">
        <v>31</v>
      </c>
      <c r="N37" t="s">
        <v>16</v>
      </c>
      <c r="O37" t="s">
        <v>16</v>
      </c>
      <c r="P37">
        <v>1</v>
      </c>
    </row>
    <row r="38" spans="1:16" x14ac:dyDescent="0.3">
      <c r="A38">
        <v>1177</v>
      </c>
      <c r="B38" t="s">
        <v>16</v>
      </c>
      <c r="C38" t="s">
        <v>18</v>
      </c>
      <c r="D38">
        <v>1</v>
      </c>
      <c r="E38">
        <v>86.43</v>
      </c>
      <c r="F38">
        <v>85</v>
      </c>
      <c r="G38">
        <v>83</v>
      </c>
      <c r="H38">
        <v>88</v>
      </c>
      <c r="I38">
        <v>85</v>
      </c>
      <c r="J38">
        <v>85</v>
      </c>
      <c r="K38">
        <v>92</v>
      </c>
      <c r="L38">
        <v>85</v>
      </c>
      <c r="M38" t="s">
        <v>33</v>
      </c>
      <c r="N38" t="s">
        <v>19</v>
      </c>
      <c r="O38" t="s">
        <v>16</v>
      </c>
      <c r="P38">
        <v>0</v>
      </c>
    </row>
    <row r="39" spans="1:16" x14ac:dyDescent="0.3">
      <c r="A39">
        <v>1178</v>
      </c>
      <c r="B39" t="s">
        <v>16</v>
      </c>
      <c r="C39" t="s">
        <v>18</v>
      </c>
      <c r="D39">
        <v>1</v>
      </c>
      <c r="E39">
        <v>85.11</v>
      </c>
      <c r="F39">
        <v>73</v>
      </c>
      <c r="G39">
        <v>61</v>
      </c>
      <c r="H39">
        <v>80</v>
      </c>
      <c r="I39">
        <v>85</v>
      </c>
      <c r="J39">
        <v>90</v>
      </c>
      <c r="K39">
        <v>79</v>
      </c>
      <c r="L39">
        <v>82</v>
      </c>
      <c r="M39" t="s">
        <v>35</v>
      </c>
      <c r="N39" t="s">
        <v>16</v>
      </c>
      <c r="O39" t="s">
        <v>16</v>
      </c>
      <c r="P39">
        <v>0</v>
      </c>
    </row>
    <row r="40" spans="1:16" x14ac:dyDescent="0.3">
      <c r="A40">
        <v>1179</v>
      </c>
      <c r="B40" t="s">
        <v>19</v>
      </c>
      <c r="C40" t="s">
        <v>18</v>
      </c>
      <c r="D40">
        <v>1</v>
      </c>
      <c r="E40">
        <v>81.3</v>
      </c>
      <c r="F40">
        <v>72</v>
      </c>
      <c r="G40">
        <v>76</v>
      </c>
      <c r="H40">
        <v>85</v>
      </c>
      <c r="I40">
        <v>85</v>
      </c>
      <c r="J40">
        <v>91</v>
      </c>
      <c r="K40">
        <v>71</v>
      </c>
      <c r="L40">
        <v>79</v>
      </c>
      <c r="M40" t="s">
        <v>33</v>
      </c>
      <c r="N40" t="s">
        <v>19</v>
      </c>
      <c r="O40" t="s">
        <v>16</v>
      </c>
      <c r="P40">
        <v>0</v>
      </c>
    </row>
    <row r="41" spans="1:16" x14ac:dyDescent="0.3">
      <c r="A41">
        <v>1180</v>
      </c>
      <c r="B41" t="s">
        <v>16</v>
      </c>
      <c r="C41" t="s">
        <v>18</v>
      </c>
      <c r="D41">
        <v>1</v>
      </c>
      <c r="E41">
        <v>84.01</v>
      </c>
      <c r="F41">
        <v>80</v>
      </c>
      <c r="G41">
        <v>75</v>
      </c>
      <c r="H41">
        <v>83</v>
      </c>
      <c r="I41">
        <v>85</v>
      </c>
      <c r="J41">
        <v>86</v>
      </c>
      <c r="K41">
        <v>87</v>
      </c>
      <c r="L41">
        <v>81</v>
      </c>
      <c r="M41" t="s">
        <v>28</v>
      </c>
      <c r="N41" t="s">
        <v>19</v>
      </c>
      <c r="O41" t="s">
        <v>16</v>
      </c>
      <c r="P41">
        <v>1</v>
      </c>
    </row>
    <row r="42" spans="1:16" x14ac:dyDescent="0.3">
      <c r="A42">
        <v>1181</v>
      </c>
      <c r="B42" t="s">
        <v>19</v>
      </c>
      <c r="C42" t="s">
        <v>17</v>
      </c>
      <c r="D42">
        <v>1</v>
      </c>
      <c r="E42">
        <v>83.19</v>
      </c>
      <c r="F42">
        <v>62</v>
      </c>
      <c r="G42">
        <v>73</v>
      </c>
      <c r="H42">
        <v>76</v>
      </c>
      <c r="I42">
        <v>85</v>
      </c>
      <c r="J42">
        <v>79</v>
      </c>
      <c r="K42">
        <v>74</v>
      </c>
      <c r="L42">
        <v>67</v>
      </c>
      <c r="M42" t="s">
        <v>19</v>
      </c>
      <c r="N42" t="s">
        <v>19</v>
      </c>
      <c r="O42" t="s">
        <v>16</v>
      </c>
      <c r="P42">
        <v>0</v>
      </c>
    </row>
    <row r="43" spans="1:16" x14ac:dyDescent="0.3">
      <c r="A43">
        <v>1182</v>
      </c>
      <c r="B43" t="s">
        <v>19</v>
      </c>
      <c r="C43" t="s">
        <v>18</v>
      </c>
      <c r="D43">
        <v>1</v>
      </c>
      <c r="E43">
        <v>90.66</v>
      </c>
      <c r="F43">
        <v>88</v>
      </c>
      <c r="G43">
        <v>78</v>
      </c>
      <c r="H43">
        <v>95</v>
      </c>
      <c r="I43">
        <v>85</v>
      </c>
      <c r="J43">
        <v>97</v>
      </c>
      <c r="K43">
        <v>97</v>
      </c>
      <c r="L43">
        <v>99</v>
      </c>
      <c r="M43" t="s">
        <v>19</v>
      </c>
      <c r="N43" t="s">
        <v>19</v>
      </c>
      <c r="O43" t="s">
        <v>16</v>
      </c>
      <c r="P43">
        <v>1</v>
      </c>
    </row>
    <row r="44" spans="1:16" x14ac:dyDescent="0.3">
      <c r="A44">
        <v>1183</v>
      </c>
      <c r="B44" t="s">
        <v>16</v>
      </c>
      <c r="C44" t="s">
        <v>18</v>
      </c>
      <c r="D44">
        <v>1</v>
      </c>
      <c r="E44">
        <v>83.94</v>
      </c>
      <c r="F44">
        <v>74</v>
      </c>
      <c r="G44">
        <v>81</v>
      </c>
      <c r="H44">
        <v>87</v>
      </c>
      <c r="I44">
        <v>86</v>
      </c>
      <c r="J44">
        <v>82</v>
      </c>
      <c r="K44">
        <v>80</v>
      </c>
      <c r="L44">
        <v>73</v>
      </c>
      <c r="M44" t="s">
        <v>37</v>
      </c>
      <c r="N44" t="s">
        <v>16</v>
      </c>
      <c r="O44" t="s">
        <v>16</v>
      </c>
      <c r="P44">
        <v>1</v>
      </c>
    </row>
    <row r="45" spans="1:16" x14ac:dyDescent="0.3">
      <c r="A45">
        <v>1184</v>
      </c>
      <c r="B45" t="s">
        <v>16</v>
      </c>
      <c r="C45" t="s">
        <v>18</v>
      </c>
      <c r="D45">
        <v>1</v>
      </c>
      <c r="E45">
        <v>81.069999999999993</v>
      </c>
      <c r="F45">
        <v>64</v>
      </c>
      <c r="G45">
        <v>55</v>
      </c>
      <c r="H45">
        <v>71</v>
      </c>
      <c r="I45">
        <v>86</v>
      </c>
      <c r="J45">
        <v>67</v>
      </c>
      <c r="K45">
        <v>72</v>
      </c>
      <c r="L45">
        <v>73</v>
      </c>
      <c r="M45" t="s">
        <v>24</v>
      </c>
      <c r="N45" t="s">
        <v>16</v>
      </c>
      <c r="O45" t="s">
        <v>16</v>
      </c>
      <c r="P45">
        <v>0</v>
      </c>
    </row>
    <row r="46" spans="1:16" x14ac:dyDescent="0.3">
      <c r="A46">
        <v>1185</v>
      </c>
      <c r="B46" t="s">
        <v>19</v>
      </c>
      <c r="C46" t="s">
        <v>18</v>
      </c>
      <c r="D46">
        <v>1</v>
      </c>
      <c r="E46">
        <v>81.61</v>
      </c>
      <c r="F46">
        <v>84</v>
      </c>
      <c r="G46">
        <v>62</v>
      </c>
      <c r="H46">
        <v>80</v>
      </c>
      <c r="I46">
        <v>86</v>
      </c>
      <c r="J46">
        <v>78</v>
      </c>
      <c r="K46">
        <v>84</v>
      </c>
      <c r="L46">
        <v>73</v>
      </c>
      <c r="M46" t="s">
        <v>19</v>
      </c>
      <c r="N46" t="s">
        <v>19</v>
      </c>
      <c r="O46" t="s">
        <v>16</v>
      </c>
      <c r="P46">
        <v>0</v>
      </c>
    </row>
    <row r="47" spans="1:16" x14ac:dyDescent="0.3">
      <c r="A47">
        <v>1186</v>
      </c>
      <c r="B47" t="s">
        <v>16</v>
      </c>
      <c r="C47" t="s">
        <v>18</v>
      </c>
      <c r="D47">
        <v>1</v>
      </c>
      <c r="E47">
        <v>87.85</v>
      </c>
      <c r="F47">
        <v>80</v>
      </c>
      <c r="G47">
        <v>78</v>
      </c>
      <c r="H47">
        <v>90</v>
      </c>
      <c r="I47">
        <v>87</v>
      </c>
      <c r="J47">
        <v>90</v>
      </c>
      <c r="K47">
        <v>87</v>
      </c>
      <c r="L47">
        <v>91</v>
      </c>
      <c r="M47" t="s">
        <v>38</v>
      </c>
      <c r="N47" t="s">
        <v>16</v>
      </c>
      <c r="O47" t="s">
        <v>16</v>
      </c>
      <c r="P47">
        <v>1</v>
      </c>
    </row>
    <row r="48" spans="1:16" x14ac:dyDescent="0.3">
      <c r="A48">
        <v>1187</v>
      </c>
      <c r="B48" t="s">
        <v>16</v>
      </c>
      <c r="C48" t="s">
        <v>18</v>
      </c>
      <c r="D48">
        <v>1</v>
      </c>
      <c r="E48">
        <v>80.599999999999994</v>
      </c>
      <c r="F48">
        <v>60</v>
      </c>
      <c r="G48">
        <v>60</v>
      </c>
      <c r="H48">
        <v>73</v>
      </c>
      <c r="I48">
        <v>87</v>
      </c>
      <c r="J48">
        <v>82</v>
      </c>
      <c r="K48">
        <v>74</v>
      </c>
      <c r="L48">
        <v>64</v>
      </c>
      <c r="M48" t="s">
        <v>39</v>
      </c>
      <c r="N48" t="s">
        <v>16</v>
      </c>
      <c r="O48" t="s">
        <v>21</v>
      </c>
      <c r="P48">
        <v>1</v>
      </c>
    </row>
    <row r="49" spans="1:16" x14ac:dyDescent="0.3">
      <c r="A49">
        <v>1188</v>
      </c>
      <c r="B49" t="s">
        <v>16</v>
      </c>
      <c r="C49" t="s">
        <v>17</v>
      </c>
      <c r="D49">
        <v>1</v>
      </c>
      <c r="E49">
        <v>74.430000000000007</v>
      </c>
      <c r="F49">
        <v>66</v>
      </c>
      <c r="G49">
        <v>80</v>
      </c>
      <c r="H49">
        <v>83</v>
      </c>
      <c r="I49">
        <v>87</v>
      </c>
      <c r="J49">
        <v>79</v>
      </c>
      <c r="K49">
        <v>69</v>
      </c>
      <c r="L49">
        <v>60</v>
      </c>
      <c r="M49" t="s">
        <v>25</v>
      </c>
      <c r="N49" t="s">
        <v>19</v>
      </c>
      <c r="O49" t="s">
        <v>20</v>
      </c>
      <c r="P49">
        <v>0</v>
      </c>
    </row>
    <row r="50" spans="1:16" x14ac:dyDescent="0.3">
      <c r="A50">
        <v>1189</v>
      </c>
      <c r="B50" t="s">
        <v>16</v>
      </c>
      <c r="C50" t="s">
        <v>18</v>
      </c>
      <c r="D50">
        <v>1</v>
      </c>
      <c r="E50">
        <v>83.15</v>
      </c>
      <c r="F50">
        <v>68</v>
      </c>
      <c r="G50">
        <v>80</v>
      </c>
      <c r="H50">
        <v>92</v>
      </c>
      <c r="I50">
        <v>87</v>
      </c>
      <c r="J50">
        <v>80</v>
      </c>
      <c r="K50">
        <v>83</v>
      </c>
      <c r="L50">
        <v>64</v>
      </c>
      <c r="M50" t="s">
        <v>19</v>
      </c>
      <c r="N50" t="s">
        <v>16</v>
      </c>
      <c r="O50" t="s">
        <v>16</v>
      </c>
      <c r="P50">
        <v>0</v>
      </c>
    </row>
    <row r="51" spans="1:16" x14ac:dyDescent="0.3">
      <c r="A51">
        <v>1190</v>
      </c>
      <c r="B51" t="s">
        <v>16</v>
      </c>
      <c r="C51" t="s">
        <v>18</v>
      </c>
      <c r="D51">
        <v>1</v>
      </c>
      <c r="E51">
        <v>82.55</v>
      </c>
      <c r="F51">
        <v>67</v>
      </c>
      <c r="G51">
        <v>71</v>
      </c>
      <c r="H51">
        <v>80</v>
      </c>
      <c r="I51">
        <v>87</v>
      </c>
      <c r="J51">
        <v>87</v>
      </c>
      <c r="K51">
        <v>83</v>
      </c>
      <c r="L51">
        <v>67</v>
      </c>
      <c r="M51" t="s">
        <v>40</v>
      </c>
      <c r="N51" t="s">
        <v>19</v>
      </c>
      <c r="O51" t="s">
        <v>16</v>
      </c>
      <c r="P51">
        <v>2</v>
      </c>
    </row>
    <row r="52" spans="1:16" x14ac:dyDescent="0.3">
      <c r="A52">
        <v>1191</v>
      </c>
      <c r="B52" t="s">
        <v>16</v>
      </c>
      <c r="C52" t="s">
        <v>17</v>
      </c>
      <c r="D52">
        <v>1</v>
      </c>
      <c r="E52">
        <v>79</v>
      </c>
      <c r="F52">
        <v>82</v>
      </c>
      <c r="G52">
        <v>72</v>
      </c>
      <c r="H52">
        <v>77</v>
      </c>
      <c r="I52">
        <v>87</v>
      </c>
      <c r="J52">
        <v>82</v>
      </c>
      <c r="K52">
        <v>92</v>
      </c>
      <c r="L52">
        <v>71</v>
      </c>
      <c r="M52" t="s">
        <v>35</v>
      </c>
      <c r="N52" t="s">
        <v>19</v>
      </c>
      <c r="O52" t="s">
        <v>16</v>
      </c>
      <c r="P52">
        <v>1</v>
      </c>
    </row>
    <row r="53" spans="1:16" x14ac:dyDescent="0.3">
      <c r="A53">
        <v>1192</v>
      </c>
      <c r="B53" t="s">
        <v>19</v>
      </c>
      <c r="C53" t="s">
        <v>18</v>
      </c>
      <c r="D53">
        <v>1</v>
      </c>
      <c r="E53">
        <v>84.45</v>
      </c>
      <c r="F53">
        <v>76</v>
      </c>
      <c r="G53">
        <v>61</v>
      </c>
      <c r="H53">
        <v>77</v>
      </c>
      <c r="I53">
        <v>87</v>
      </c>
      <c r="J53">
        <v>90</v>
      </c>
      <c r="K53">
        <v>91</v>
      </c>
      <c r="L53">
        <v>76</v>
      </c>
      <c r="M53" t="s">
        <v>16</v>
      </c>
      <c r="N53" t="s">
        <v>19</v>
      </c>
      <c r="O53" t="s">
        <v>16</v>
      </c>
      <c r="P53">
        <v>0</v>
      </c>
    </row>
    <row r="54" spans="1:16" x14ac:dyDescent="0.3">
      <c r="A54">
        <v>1193</v>
      </c>
      <c r="B54" t="s">
        <v>19</v>
      </c>
      <c r="C54" t="s">
        <v>18</v>
      </c>
      <c r="D54">
        <v>1</v>
      </c>
      <c r="E54">
        <v>85.02</v>
      </c>
      <c r="F54">
        <v>70</v>
      </c>
      <c r="G54">
        <v>71</v>
      </c>
      <c r="H54">
        <v>83</v>
      </c>
      <c r="I54">
        <v>87</v>
      </c>
      <c r="J54">
        <v>90</v>
      </c>
      <c r="K54">
        <v>80</v>
      </c>
      <c r="L54">
        <v>76</v>
      </c>
      <c r="M54" t="s">
        <v>19</v>
      </c>
      <c r="N54" t="s">
        <v>19</v>
      </c>
      <c r="O54" t="s">
        <v>21</v>
      </c>
      <c r="P54">
        <v>0</v>
      </c>
    </row>
    <row r="55" spans="1:16" x14ac:dyDescent="0.3">
      <c r="A55">
        <v>1194</v>
      </c>
      <c r="B55" t="s">
        <v>16</v>
      </c>
      <c r="C55" t="s">
        <v>18</v>
      </c>
      <c r="D55">
        <v>1</v>
      </c>
      <c r="E55">
        <v>77.53</v>
      </c>
      <c r="F55">
        <v>76</v>
      </c>
      <c r="G55">
        <v>53</v>
      </c>
      <c r="H55">
        <v>55</v>
      </c>
      <c r="I55">
        <v>87</v>
      </c>
      <c r="J55">
        <v>82</v>
      </c>
      <c r="K55">
        <v>80</v>
      </c>
      <c r="L55">
        <v>63</v>
      </c>
      <c r="M55" t="s">
        <v>22</v>
      </c>
      <c r="N55" t="s">
        <v>19</v>
      </c>
      <c r="O55" t="s">
        <v>16</v>
      </c>
      <c r="P55">
        <v>0</v>
      </c>
    </row>
    <row r="56" spans="1:16" x14ac:dyDescent="0.3">
      <c r="A56">
        <v>1195</v>
      </c>
      <c r="B56" t="s">
        <v>16</v>
      </c>
      <c r="C56" t="s">
        <v>18</v>
      </c>
      <c r="D56">
        <v>1</v>
      </c>
      <c r="E56">
        <v>78.08</v>
      </c>
      <c r="F56">
        <v>65</v>
      </c>
      <c r="G56">
        <v>60</v>
      </c>
      <c r="H56">
        <v>75</v>
      </c>
      <c r="I56">
        <v>88</v>
      </c>
      <c r="J56">
        <v>78</v>
      </c>
      <c r="K56">
        <v>78</v>
      </c>
      <c r="L56">
        <v>61</v>
      </c>
      <c r="M56" t="s">
        <v>27</v>
      </c>
      <c r="N56" t="s">
        <v>19</v>
      </c>
      <c r="O56" t="s">
        <v>16</v>
      </c>
      <c r="P56">
        <v>2</v>
      </c>
    </row>
    <row r="57" spans="1:16" x14ac:dyDescent="0.3">
      <c r="A57">
        <v>1196</v>
      </c>
      <c r="B57" t="s">
        <v>16</v>
      </c>
      <c r="C57" t="s">
        <v>18</v>
      </c>
      <c r="D57">
        <v>1</v>
      </c>
      <c r="E57">
        <v>87.44</v>
      </c>
      <c r="F57">
        <v>87</v>
      </c>
      <c r="G57">
        <v>75</v>
      </c>
      <c r="H57">
        <v>91</v>
      </c>
      <c r="I57">
        <v>88</v>
      </c>
      <c r="J57">
        <v>95</v>
      </c>
      <c r="K57">
        <v>89</v>
      </c>
      <c r="L57">
        <v>94</v>
      </c>
      <c r="M57" t="s">
        <v>16</v>
      </c>
      <c r="N57" t="s">
        <v>16</v>
      </c>
      <c r="O57" t="s">
        <v>16</v>
      </c>
      <c r="P57">
        <v>0</v>
      </c>
    </row>
    <row r="58" spans="1:16" x14ac:dyDescent="0.3">
      <c r="A58">
        <v>1197</v>
      </c>
      <c r="B58" t="s">
        <v>16</v>
      </c>
      <c r="C58" t="s">
        <v>18</v>
      </c>
      <c r="D58">
        <v>1</v>
      </c>
      <c r="E58">
        <v>81.709999999999994</v>
      </c>
      <c r="F58">
        <v>69</v>
      </c>
      <c r="G58">
        <v>68</v>
      </c>
      <c r="H58">
        <v>78</v>
      </c>
      <c r="I58">
        <v>88</v>
      </c>
      <c r="J58">
        <v>78</v>
      </c>
      <c r="K58">
        <v>74</v>
      </c>
      <c r="L58">
        <v>78</v>
      </c>
      <c r="M58" t="s">
        <v>32</v>
      </c>
      <c r="N58" t="s">
        <v>16</v>
      </c>
      <c r="O58" t="s">
        <v>16</v>
      </c>
      <c r="P58">
        <v>0</v>
      </c>
    </row>
    <row r="59" spans="1:16" x14ac:dyDescent="0.3">
      <c r="A59">
        <v>1198</v>
      </c>
      <c r="B59" t="s">
        <v>19</v>
      </c>
      <c r="C59" t="s">
        <v>18</v>
      </c>
      <c r="D59">
        <v>1</v>
      </c>
      <c r="E59">
        <v>85.72</v>
      </c>
      <c r="F59">
        <v>75</v>
      </c>
      <c r="G59">
        <v>80</v>
      </c>
      <c r="H59">
        <v>64</v>
      </c>
      <c r="I59">
        <v>88</v>
      </c>
      <c r="J59">
        <v>86</v>
      </c>
      <c r="K59">
        <v>86</v>
      </c>
      <c r="L59">
        <v>69</v>
      </c>
      <c r="M59" t="s">
        <v>22</v>
      </c>
      <c r="N59" t="s">
        <v>19</v>
      </c>
      <c r="O59" t="s">
        <v>16</v>
      </c>
      <c r="P59">
        <v>1</v>
      </c>
    </row>
    <row r="60" spans="1:16" x14ac:dyDescent="0.3">
      <c r="A60">
        <v>1199</v>
      </c>
      <c r="B60" t="s">
        <v>19</v>
      </c>
      <c r="C60" t="s">
        <v>18</v>
      </c>
      <c r="D60">
        <v>1</v>
      </c>
      <c r="E60">
        <v>88.35</v>
      </c>
      <c r="F60">
        <v>93</v>
      </c>
      <c r="G60">
        <v>71</v>
      </c>
      <c r="H60">
        <v>85</v>
      </c>
      <c r="I60">
        <v>88</v>
      </c>
      <c r="J60">
        <v>91</v>
      </c>
      <c r="K60">
        <v>92</v>
      </c>
      <c r="L60">
        <v>86</v>
      </c>
      <c r="M60" t="s">
        <v>37</v>
      </c>
      <c r="N60" t="s">
        <v>19</v>
      </c>
      <c r="O60" t="s">
        <v>16</v>
      </c>
      <c r="P60">
        <v>1</v>
      </c>
    </row>
    <row r="61" spans="1:16" x14ac:dyDescent="0.3">
      <c r="A61">
        <v>1200</v>
      </c>
      <c r="B61" t="s">
        <v>19</v>
      </c>
      <c r="C61" t="s">
        <v>17</v>
      </c>
      <c r="D61">
        <v>1</v>
      </c>
      <c r="E61">
        <v>79.34</v>
      </c>
      <c r="F61">
        <v>62</v>
      </c>
      <c r="G61">
        <v>75</v>
      </c>
      <c r="H61">
        <v>80</v>
      </c>
      <c r="I61">
        <v>89</v>
      </c>
      <c r="J61">
        <v>75</v>
      </c>
      <c r="K61">
        <v>63</v>
      </c>
      <c r="L61">
        <v>74</v>
      </c>
      <c r="M61" t="s">
        <v>26</v>
      </c>
      <c r="N61" t="s">
        <v>19</v>
      </c>
      <c r="O61" t="s">
        <v>16</v>
      </c>
      <c r="P61">
        <v>0</v>
      </c>
    </row>
    <row r="62" spans="1:16" x14ac:dyDescent="0.3">
      <c r="A62">
        <v>1201</v>
      </c>
      <c r="B62" t="s">
        <v>16</v>
      </c>
      <c r="C62" t="s">
        <v>18</v>
      </c>
      <c r="D62">
        <v>1</v>
      </c>
      <c r="E62">
        <v>84.7</v>
      </c>
      <c r="F62">
        <v>62</v>
      </c>
      <c r="G62">
        <v>66</v>
      </c>
      <c r="H62">
        <v>93</v>
      </c>
      <c r="I62">
        <v>89</v>
      </c>
      <c r="J62">
        <v>84</v>
      </c>
      <c r="K62">
        <v>79</v>
      </c>
      <c r="L62">
        <v>81</v>
      </c>
      <c r="M62" t="s">
        <v>41</v>
      </c>
      <c r="N62" t="s">
        <v>16</v>
      </c>
      <c r="O62" t="s">
        <v>16</v>
      </c>
      <c r="P62">
        <v>0</v>
      </c>
    </row>
    <row r="63" spans="1:16" x14ac:dyDescent="0.3">
      <c r="A63">
        <v>1202</v>
      </c>
      <c r="B63" t="s">
        <v>16</v>
      </c>
      <c r="C63" t="s">
        <v>17</v>
      </c>
      <c r="D63">
        <v>1</v>
      </c>
      <c r="E63">
        <v>78.39</v>
      </c>
      <c r="F63">
        <v>66</v>
      </c>
      <c r="G63">
        <v>60</v>
      </c>
      <c r="H63">
        <v>66</v>
      </c>
      <c r="I63">
        <v>89</v>
      </c>
      <c r="J63">
        <v>76</v>
      </c>
      <c r="K63">
        <v>75</v>
      </c>
      <c r="L63">
        <v>78</v>
      </c>
      <c r="M63" t="s">
        <v>33</v>
      </c>
      <c r="N63" t="s">
        <v>19</v>
      </c>
      <c r="O63" t="s">
        <v>19</v>
      </c>
      <c r="P63">
        <v>2</v>
      </c>
    </row>
    <row r="64" spans="1:16" x14ac:dyDescent="0.3">
      <c r="A64">
        <v>1203</v>
      </c>
      <c r="B64" t="s">
        <v>19</v>
      </c>
      <c r="C64" t="s">
        <v>18</v>
      </c>
      <c r="D64">
        <v>1</v>
      </c>
      <c r="E64">
        <v>77.53</v>
      </c>
      <c r="F64">
        <v>72</v>
      </c>
      <c r="G64">
        <v>71</v>
      </c>
      <c r="H64">
        <v>71</v>
      </c>
      <c r="I64">
        <v>89</v>
      </c>
      <c r="J64">
        <v>82</v>
      </c>
      <c r="K64">
        <v>66</v>
      </c>
      <c r="L64">
        <v>60</v>
      </c>
      <c r="M64" t="s">
        <v>42</v>
      </c>
      <c r="N64" t="s">
        <v>19</v>
      </c>
      <c r="O64" t="s">
        <v>21</v>
      </c>
      <c r="P64">
        <v>0</v>
      </c>
    </row>
    <row r="65" spans="1:16" x14ac:dyDescent="0.3">
      <c r="A65">
        <v>1204</v>
      </c>
      <c r="B65" t="s">
        <v>19</v>
      </c>
      <c r="C65" t="s">
        <v>18</v>
      </c>
      <c r="D65">
        <v>1</v>
      </c>
      <c r="E65">
        <v>81.03</v>
      </c>
      <c r="F65">
        <v>73</v>
      </c>
      <c r="G65">
        <v>53</v>
      </c>
      <c r="H65">
        <v>88</v>
      </c>
      <c r="I65">
        <v>89</v>
      </c>
      <c r="J65">
        <v>81</v>
      </c>
      <c r="K65">
        <v>78</v>
      </c>
      <c r="L65">
        <v>68</v>
      </c>
      <c r="M65" t="s">
        <v>28</v>
      </c>
      <c r="N65" t="s">
        <v>19</v>
      </c>
      <c r="O65" t="s">
        <v>21</v>
      </c>
      <c r="P65">
        <v>0</v>
      </c>
    </row>
    <row r="66" spans="1:16" x14ac:dyDescent="0.3">
      <c r="A66">
        <v>1205</v>
      </c>
      <c r="B66" t="s">
        <v>16</v>
      </c>
      <c r="C66" t="s">
        <v>18</v>
      </c>
      <c r="D66">
        <v>1</v>
      </c>
      <c r="E66">
        <v>83.79</v>
      </c>
      <c r="F66">
        <v>81</v>
      </c>
      <c r="G66">
        <v>71</v>
      </c>
      <c r="H66">
        <v>68</v>
      </c>
      <c r="I66">
        <v>90</v>
      </c>
      <c r="J66">
        <v>79</v>
      </c>
      <c r="K66">
        <v>86</v>
      </c>
      <c r="L66">
        <v>73</v>
      </c>
      <c r="M66" t="s">
        <v>31</v>
      </c>
      <c r="N66" t="s">
        <v>16</v>
      </c>
      <c r="O66" t="s">
        <v>16</v>
      </c>
      <c r="P66">
        <v>2</v>
      </c>
    </row>
    <row r="67" spans="1:16" x14ac:dyDescent="0.3">
      <c r="A67">
        <v>1206</v>
      </c>
      <c r="B67" t="s">
        <v>16</v>
      </c>
      <c r="C67" t="s">
        <v>17</v>
      </c>
      <c r="D67">
        <v>1</v>
      </c>
      <c r="E67">
        <v>86.37</v>
      </c>
      <c r="F67">
        <v>95</v>
      </c>
      <c r="G67">
        <v>76</v>
      </c>
      <c r="H67">
        <v>87</v>
      </c>
      <c r="I67">
        <v>90</v>
      </c>
      <c r="J67">
        <v>86</v>
      </c>
      <c r="K67">
        <v>94</v>
      </c>
      <c r="L67">
        <v>84</v>
      </c>
      <c r="M67" t="s">
        <v>22</v>
      </c>
      <c r="N67" t="s">
        <v>19</v>
      </c>
      <c r="O67" t="s">
        <v>16</v>
      </c>
      <c r="P67">
        <v>0</v>
      </c>
    </row>
    <row r="68" spans="1:16" x14ac:dyDescent="0.3">
      <c r="A68">
        <v>1207</v>
      </c>
      <c r="B68" t="s">
        <v>19</v>
      </c>
      <c r="C68" t="s">
        <v>18</v>
      </c>
      <c r="D68">
        <v>1</v>
      </c>
      <c r="E68">
        <v>87.3</v>
      </c>
      <c r="F68">
        <v>81</v>
      </c>
      <c r="G68">
        <v>80</v>
      </c>
      <c r="H68">
        <v>83</v>
      </c>
      <c r="I68">
        <v>90</v>
      </c>
      <c r="J68">
        <v>94</v>
      </c>
      <c r="K68">
        <v>95</v>
      </c>
      <c r="L68">
        <v>78</v>
      </c>
      <c r="M68" t="s">
        <v>28</v>
      </c>
      <c r="N68" t="s">
        <v>19</v>
      </c>
      <c r="O68" t="s">
        <v>16</v>
      </c>
      <c r="P68">
        <v>2</v>
      </c>
    </row>
    <row r="69" spans="1:16" x14ac:dyDescent="0.3">
      <c r="A69">
        <v>1208</v>
      </c>
      <c r="B69" t="s">
        <v>16</v>
      </c>
      <c r="C69" t="s">
        <v>18</v>
      </c>
      <c r="D69">
        <v>1</v>
      </c>
      <c r="E69">
        <v>84.41</v>
      </c>
      <c r="F69">
        <v>82</v>
      </c>
      <c r="G69">
        <v>77</v>
      </c>
      <c r="H69">
        <v>86</v>
      </c>
      <c r="I69">
        <v>91</v>
      </c>
      <c r="J69">
        <v>75</v>
      </c>
      <c r="K69">
        <v>72</v>
      </c>
      <c r="L69">
        <v>85</v>
      </c>
      <c r="M69" t="s">
        <v>33</v>
      </c>
      <c r="N69" t="s">
        <v>19</v>
      </c>
      <c r="O69" t="s">
        <v>16</v>
      </c>
      <c r="P69">
        <v>0</v>
      </c>
    </row>
    <row r="70" spans="1:16" x14ac:dyDescent="0.3">
      <c r="A70">
        <v>1209</v>
      </c>
      <c r="B70" t="s">
        <v>16</v>
      </c>
      <c r="C70" t="s">
        <v>18</v>
      </c>
      <c r="D70">
        <v>1</v>
      </c>
      <c r="E70">
        <v>93.06</v>
      </c>
      <c r="F70">
        <v>82</v>
      </c>
      <c r="G70">
        <v>90</v>
      </c>
      <c r="H70">
        <v>93</v>
      </c>
      <c r="I70">
        <v>91</v>
      </c>
      <c r="J70">
        <v>93</v>
      </c>
      <c r="K70">
        <v>99</v>
      </c>
      <c r="L70">
        <v>94</v>
      </c>
      <c r="M70" t="s">
        <v>30</v>
      </c>
      <c r="N70" t="s">
        <v>19</v>
      </c>
      <c r="O70" t="s">
        <v>35</v>
      </c>
      <c r="P70">
        <v>0</v>
      </c>
    </row>
    <row r="71" spans="1:16" x14ac:dyDescent="0.3">
      <c r="A71">
        <v>1210</v>
      </c>
      <c r="B71" t="s">
        <v>16</v>
      </c>
      <c r="C71" t="s">
        <v>18</v>
      </c>
      <c r="D71">
        <v>1</v>
      </c>
      <c r="E71">
        <v>87.3</v>
      </c>
      <c r="F71">
        <v>76</v>
      </c>
      <c r="G71">
        <v>88</v>
      </c>
      <c r="H71">
        <v>80</v>
      </c>
      <c r="I71">
        <v>91</v>
      </c>
      <c r="J71">
        <v>89</v>
      </c>
      <c r="K71">
        <v>75</v>
      </c>
      <c r="L71">
        <v>78</v>
      </c>
      <c r="M71" t="s">
        <v>36</v>
      </c>
      <c r="N71" t="s">
        <v>16</v>
      </c>
      <c r="O71" t="s">
        <v>16</v>
      </c>
      <c r="P71">
        <v>2</v>
      </c>
    </row>
    <row r="72" spans="1:16" x14ac:dyDescent="0.3">
      <c r="A72">
        <v>1211</v>
      </c>
      <c r="B72" t="s">
        <v>19</v>
      </c>
      <c r="C72" t="s">
        <v>18</v>
      </c>
      <c r="D72">
        <v>1</v>
      </c>
      <c r="E72">
        <v>87.42</v>
      </c>
      <c r="F72">
        <v>85</v>
      </c>
      <c r="G72">
        <v>75</v>
      </c>
      <c r="H72">
        <v>92</v>
      </c>
      <c r="I72">
        <v>91</v>
      </c>
      <c r="J72">
        <v>92</v>
      </c>
      <c r="K72">
        <v>75</v>
      </c>
      <c r="L72">
        <v>78</v>
      </c>
      <c r="M72" t="s">
        <v>28</v>
      </c>
      <c r="N72" t="s">
        <v>19</v>
      </c>
      <c r="O72" t="s">
        <v>16</v>
      </c>
      <c r="P72">
        <v>2</v>
      </c>
    </row>
    <row r="73" spans="1:16" x14ac:dyDescent="0.3">
      <c r="A73">
        <v>1212</v>
      </c>
      <c r="B73" t="s">
        <v>16</v>
      </c>
      <c r="C73" t="s">
        <v>18</v>
      </c>
      <c r="D73">
        <v>1</v>
      </c>
      <c r="E73">
        <v>84.33</v>
      </c>
      <c r="F73">
        <v>88</v>
      </c>
      <c r="G73">
        <v>72</v>
      </c>
      <c r="H73">
        <v>85</v>
      </c>
      <c r="I73">
        <v>92</v>
      </c>
      <c r="J73">
        <v>94</v>
      </c>
      <c r="K73">
        <v>87</v>
      </c>
      <c r="L73">
        <v>60</v>
      </c>
      <c r="M73" t="s">
        <v>30</v>
      </c>
      <c r="N73" t="s">
        <v>19</v>
      </c>
      <c r="O73" t="s">
        <v>16</v>
      </c>
      <c r="P73">
        <v>1</v>
      </c>
    </row>
    <row r="74" spans="1:16" x14ac:dyDescent="0.3">
      <c r="A74">
        <v>1213</v>
      </c>
      <c r="B74" t="s">
        <v>16</v>
      </c>
      <c r="C74" t="s">
        <v>17</v>
      </c>
      <c r="D74">
        <v>1</v>
      </c>
      <c r="E74">
        <v>89.41</v>
      </c>
      <c r="F74">
        <v>90</v>
      </c>
      <c r="G74">
        <v>87</v>
      </c>
      <c r="H74">
        <v>83</v>
      </c>
      <c r="I74">
        <v>92</v>
      </c>
      <c r="J74">
        <v>97</v>
      </c>
      <c r="K74">
        <v>87</v>
      </c>
      <c r="L74">
        <v>70</v>
      </c>
      <c r="M74" t="s">
        <v>43</v>
      </c>
      <c r="N74" t="s">
        <v>19</v>
      </c>
      <c r="O74" t="s">
        <v>21</v>
      </c>
      <c r="P74">
        <v>0</v>
      </c>
    </row>
    <row r="75" spans="1:16" x14ac:dyDescent="0.3">
      <c r="A75">
        <v>1214</v>
      </c>
      <c r="B75" t="s">
        <v>16</v>
      </c>
      <c r="C75" t="s">
        <v>18</v>
      </c>
      <c r="D75">
        <v>1</v>
      </c>
      <c r="E75">
        <v>84.11</v>
      </c>
      <c r="F75">
        <v>79</v>
      </c>
      <c r="G75">
        <v>48</v>
      </c>
      <c r="H75">
        <v>85</v>
      </c>
      <c r="I75">
        <v>92</v>
      </c>
      <c r="J75">
        <v>85</v>
      </c>
      <c r="K75">
        <v>88</v>
      </c>
      <c r="L75">
        <v>84</v>
      </c>
      <c r="M75" t="s">
        <v>42</v>
      </c>
      <c r="N75" t="s">
        <v>16</v>
      </c>
      <c r="O75" t="s">
        <v>16</v>
      </c>
      <c r="P75">
        <v>2</v>
      </c>
    </row>
    <row r="76" spans="1:16" x14ac:dyDescent="0.3">
      <c r="A76">
        <v>1215</v>
      </c>
      <c r="B76" t="s">
        <v>16</v>
      </c>
      <c r="C76" t="s">
        <v>18</v>
      </c>
      <c r="D76">
        <v>1</v>
      </c>
      <c r="E76">
        <v>87.26</v>
      </c>
      <c r="F76">
        <v>80</v>
      </c>
      <c r="G76">
        <v>78</v>
      </c>
      <c r="H76">
        <v>87</v>
      </c>
      <c r="I76">
        <v>92</v>
      </c>
      <c r="J76">
        <v>95</v>
      </c>
      <c r="K76">
        <v>92</v>
      </c>
      <c r="L76">
        <v>94</v>
      </c>
      <c r="M76" t="s">
        <v>22</v>
      </c>
      <c r="N76" t="s">
        <v>16</v>
      </c>
      <c r="O76" t="s">
        <v>16</v>
      </c>
      <c r="P76">
        <v>1</v>
      </c>
    </row>
    <row r="77" spans="1:16" x14ac:dyDescent="0.3">
      <c r="A77">
        <v>1216</v>
      </c>
      <c r="B77" t="s">
        <v>16</v>
      </c>
      <c r="C77" t="s">
        <v>18</v>
      </c>
      <c r="D77">
        <v>1</v>
      </c>
      <c r="E77">
        <v>91.9</v>
      </c>
      <c r="F77">
        <v>95</v>
      </c>
      <c r="G77">
        <v>86</v>
      </c>
      <c r="H77">
        <v>96</v>
      </c>
      <c r="I77">
        <v>92</v>
      </c>
      <c r="J77">
        <v>95</v>
      </c>
      <c r="K77">
        <v>90</v>
      </c>
      <c r="L77">
        <v>95</v>
      </c>
      <c r="M77" t="s">
        <v>40</v>
      </c>
      <c r="N77" t="s">
        <v>19</v>
      </c>
      <c r="O77" t="s">
        <v>16</v>
      </c>
      <c r="P77">
        <v>1</v>
      </c>
    </row>
    <row r="78" spans="1:16" x14ac:dyDescent="0.3">
      <c r="A78">
        <v>1217</v>
      </c>
      <c r="B78" t="s">
        <v>16</v>
      </c>
      <c r="C78" t="s">
        <v>18</v>
      </c>
      <c r="D78">
        <v>1</v>
      </c>
      <c r="E78">
        <v>87.77</v>
      </c>
      <c r="F78">
        <v>91</v>
      </c>
      <c r="G78">
        <v>68</v>
      </c>
      <c r="H78">
        <v>87</v>
      </c>
      <c r="I78">
        <v>92</v>
      </c>
      <c r="J78">
        <v>92</v>
      </c>
      <c r="K78">
        <v>90</v>
      </c>
      <c r="L78">
        <v>77</v>
      </c>
      <c r="M78" t="s">
        <v>38</v>
      </c>
      <c r="N78" t="s">
        <v>16</v>
      </c>
      <c r="O78" t="s">
        <v>16</v>
      </c>
      <c r="P78">
        <v>1</v>
      </c>
    </row>
    <row r="79" spans="1:16" x14ac:dyDescent="0.3">
      <c r="A79">
        <v>1218</v>
      </c>
      <c r="B79" t="s">
        <v>16</v>
      </c>
      <c r="C79" t="s">
        <v>18</v>
      </c>
      <c r="D79">
        <v>1</v>
      </c>
      <c r="E79">
        <v>84.68</v>
      </c>
      <c r="F79">
        <v>73</v>
      </c>
      <c r="G79">
        <v>73</v>
      </c>
      <c r="H79">
        <v>94</v>
      </c>
      <c r="I79">
        <v>92</v>
      </c>
      <c r="J79">
        <v>92</v>
      </c>
      <c r="K79">
        <v>81</v>
      </c>
      <c r="L79">
        <v>74</v>
      </c>
      <c r="M79" t="s">
        <v>42</v>
      </c>
      <c r="N79" t="s">
        <v>16</v>
      </c>
      <c r="O79" t="s">
        <v>16</v>
      </c>
      <c r="P79">
        <v>1</v>
      </c>
    </row>
    <row r="80" spans="1:16" x14ac:dyDescent="0.3">
      <c r="A80">
        <v>1219</v>
      </c>
      <c r="B80" t="s">
        <v>16</v>
      </c>
      <c r="C80" t="s">
        <v>17</v>
      </c>
      <c r="D80">
        <v>1</v>
      </c>
      <c r="E80">
        <v>67.400000000000006</v>
      </c>
      <c r="F80">
        <v>81</v>
      </c>
      <c r="G80">
        <v>61</v>
      </c>
      <c r="H80">
        <v>41</v>
      </c>
      <c r="I80">
        <v>92</v>
      </c>
      <c r="J80">
        <v>88</v>
      </c>
      <c r="K80">
        <v>69</v>
      </c>
      <c r="L80">
        <v>40</v>
      </c>
      <c r="M80" t="s">
        <v>39</v>
      </c>
      <c r="N80" t="s">
        <v>19</v>
      </c>
      <c r="O80" t="s">
        <v>21</v>
      </c>
      <c r="P80">
        <v>0</v>
      </c>
    </row>
    <row r="81" spans="1:16" x14ac:dyDescent="0.3">
      <c r="A81">
        <v>1220</v>
      </c>
      <c r="B81" t="s">
        <v>16</v>
      </c>
      <c r="C81" t="s">
        <v>18</v>
      </c>
      <c r="D81">
        <v>1</v>
      </c>
      <c r="E81">
        <v>89.95</v>
      </c>
      <c r="F81">
        <v>87</v>
      </c>
      <c r="G81">
        <v>87</v>
      </c>
      <c r="H81">
        <v>92</v>
      </c>
      <c r="I81">
        <v>92</v>
      </c>
      <c r="J81">
        <v>90</v>
      </c>
      <c r="K81">
        <v>92</v>
      </c>
      <c r="L81">
        <v>84</v>
      </c>
      <c r="M81" t="s">
        <v>33</v>
      </c>
      <c r="N81" t="s">
        <v>19</v>
      </c>
      <c r="O81" t="s">
        <v>16</v>
      </c>
      <c r="P81">
        <v>1</v>
      </c>
    </row>
    <row r="82" spans="1:16" x14ac:dyDescent="0.3">
      <c r="A82">
        <v>1221</v>
      </c>
      <c r="B82" t="s">
        <v>16</v>
      </c>
      <c r="C82" t="s">
        <v>18</v>
      </c>
      <c r="D82">
        <v>1</v>
      </c>
      <c r="E82">
        <v>85.18</v>
      </c>
      <c r="F82">
        <v>75</v>
      </c>
      <c r="G82">
        <v>70</v>
      </c>
      <c r="H82">
        <v>73</v>
      </c>
      <c r="I82">
        <v>92</v>
      </c>
      <c r="J82">
        <v>84</v>
      </c>
      <c r="K82">
        <v>76</v>
      </c>
      <c r="L82">
        <v>88</v>
      </c>
      <c r="M82" t="s">
        <v>42</v>
      </c>
      <c r="N82" t="s">
        <v>16</v>
      </c>
      <c r="O82" t="s">
        <v>16</v>
      </c>
      <c r="P82">
        <v>0</v>
      </c>
    </row>
    <row r="83" spans="1:16" x14ac:dyDescent="0.3">
      <c r="A83">
        <v>1222</v>
      </c>
      <c r="B83" t="s">
        <v>19</v>
      </c>
      <c r="C83" t="s">
        <v>18</v>
      </c>
      <c r="D83">
        <v>1</v>
      </c>
      <c r="E83">
        <v>85.84</v>
      </c>
      <c r="F83">
        <v>82</v>
      </c>
      <c r="G83">
        <v>77</v>
      </c>
      <c r="H83">
        <v>86</v>
      </c>
      <c r="I83">
        <v>92</v>
      </c>
      <c r="J83">
        <v>90</v>
      </c>
      <c r="K83">
        <v>80</v>
      </c>
      <c r="L83">
        <v>86</v>
      </c>
      <c r="M83" t="s">
        <v>42</v>
      </c>
      <c r="N83" t="s">
        <v>19</v>
      </c>
      <c r="O83" t="s">
        <v>21</v>
      </c>
      <c r="P83">
        <v>2</v>
      </c>
    </row>
    <row r="84" spans="1:16" x14ac:dyDescent="0.3">
      <c r="A84">
        <v>1223</v>
      </c>
      <c r="B84" t="s">
        <v>19</v>
      </c>
      <c r="C84" t="s">
        <v>17</v>
      </c>
      <c r="D84">
        <v>1</v>
      </c>
      <c r="E84">
        <v>84.18</v>
      </c>
      <c r="F84">
        <v>84</v>
      </c>
      <c r="G84">
        <v>67</v>
      </c>
      <c r="H84">
        <v>94</v>
      </c>
      <c r="I84">
        <v>92</v>
      </c>
      <c r="J84">
        <v>82</v>
      </c>
      <c r="K84">
        <v>83</v>
      </c>
      <c r="L84">
        <v>85</v>
      </c>
      <c r="M84" t="s">
        <v>37</v>
      </c>
      <c r="N84" t="s">
        <v>19</v>
      </c>
      <c r="O84" t="s">
        <v>16</v>
      </c>
      <c r="P84">
        <v>1</v>
      </c>
    </row>
    <row r="85" spans="1:16" x14ac:dyDescent="0.3">
      <c r="A85">
        <v>1224</v>
      </c>
      <c r="B85" t="s">
        <v>16</v>
      </c>
      <c r="C85" t="s">
        <v>18</v>
      </c>
      <c r="D85">
        <v>1</v>
      </c>
      <c r="E85">
        <v>85</v>
      </c>
      <c r="F85">
        <v>76</v>
      </c>
      <c r="G85">
        <v>75</v>
      </c>
      <c r="H85">
        <v>83</v>
      </c>
      <c r="I85">
        <v>93</v>
      </c>
      <c r="J85">
        <v>85</v>
      </c>
      <c r="K85">
        <v>75</v>
      </c>
      <c r="L85">
        <v>89</v>
      </c>
      <c r="M85" t="s">
        <v>41</v>
      </c>
      <c r="N85" t="s">
        <v>16</v>
      </c>
      <c r="O85" t="s">
        <v>16</v>
      </c>
      <c r="P85">
        <v>2</v>
      </c>
    </row>
    <row r="86" spans="1:16" x14ac:dyDescent="0.3">
      <c r="A86">
        <v>1225</v>
      </c>
      <c r="B86" t="s">
        <v>16</v>
      </c>
      <c r="C86" t="s">
        <v>18</v>
      </c>
      <c r="D86">
        <v>1</v>
      </c>
      <c r="E86">
        <v>90.62</v>
      </c>
      <c r="F86">
        <v>94</v>
      </c>
      <c r="G86">
        <v>81</v>
      </c>
      <c r="H86">
        <v>90</v>
      </c>
      <c r="I86">
        <v>93</v>
      </c>
      <c r="J86">
        <v>91</v>
      </c>
      <c r="K86">
        <v>86</v>
      </c>
      <c r="L86">
        <v>94</v>
      </c>
      <c r="M86" t="s">
        <v>35</v>
      </c>
      <c r="N86" t="s">
        <v>16</v>
      </c>
      <c r="O86" t="s">
        <v>16</v>
      </c>
      <c r="P86">
        <v>1</v>
      </c>
    </row>
    <row r="87" spans="1:16" x14ac:dyDescent="0.3">
      <c r="A87">
        <v>1226</v>
      </c>
      <c r="B87" t="s">
        <v>19</v>
      </c>
      <c r="C87" t="s">
        <v>18</v>
      </c>
      <c r="D87">
        <v>1</v>
      </c>
      <c r="E87">
        <v>87.12</v>
      </c>
      <c r="F87">
        <v>92</v>
      </c>
      <c r="G87">
        <v>73</v>
      </c>
      <c r="H87">
        <v>87</v>
      </c>
      <c r="I87">
        <v>94</v>
      </c>
      <c r="J87">
        <v>94</v>
      </c>
      <c r="K87">
        <v>96</v>
      </c>
      <c r="L87">
        <v>89</v>
      </c>
      <c r="M87" t="s">
        <v>37</v>
      </c>
      <c r="N87" t="s">
        <v>19</v>
      </c>
      <c r="O87" t="s">
        <v>16</v>
      </c>
      <c r="P87">
        <v>0</v>
      </c>
    </row>
    <row r="88" spans="1:16" x14ac:dyDescent="0.3">
      <c r="A88">
        <v>1227</v>
      </c>
      <c r="B88" t="s">
        <v>16</v>
      </c>
      <c r="C88" t="s">
        <v>18</v>
      </c>
      <c r="D88">
        <v>1</v>
      </c>
      <c r="E88">
        <v>84.63</v>
      </c>
      <c r="F88">
        <v>83</v>
      </c>
      <c r="G88">
        <v>87</v>
      </c>
      <c r="H88">
        <v>88</v>
      </c>
      <c r="I88">
        <v>94</v>
      </c>
      <c r="J88">
        <v>79</v>
      </c>
      <c r="K88">
        <v>87</v>
      </c>
      <c r="L88">
        <v>76</v>
      </c>
      <c r="M88" t="s">
        <v>42</v>
      </c>
      <c r="N88" t="s">
        <v>19</v>
      </c>
      <c r="O88" t="s">
        <v>16</v>
      </c>
      <c r="P88">
        <v>0</v>
      </c>
    </row>
    <row r="89" spans="1:16" x14ac:dyDescent="0.3">
      <c r="A89">
        <v>1228</v>
      </c>
      <c r="B89" t="s">
        <v>16</v>
      </c>
      <c r="C89" t="s">
        <v>18</v>
      </c>
      <c r="D89">
        <v>1</v>
      </c>
      <c r="E89">
        <v>88.62</v>
      </c>
      <c r="F89">
        <v>95</v>
      </c>
      <c r="G89">
        <v>65</v>
      </c>
      <c r="H89">
        <v>97</v>
      </c>
      <c r="I89">
        <v>94</v>
      </c>
      <c r="J89">
        <v>97</v>
      </c>
      <c r="K89">
        <v>85</v>
      </c>
      <c r="L89">
        <v>85</v>
      </c>
      <c r="M89" t="s">
        <v>42</v>
      </c>
      <c r="N89" t="s">
        <v>19</v>
      </c>
      <c r="O89" t="s">
        <v>35</v>
      </c>
      <c r="P89">
        <v>2</v>
      </c>
    </row>
    <row r="90" spans="1:16" x14ac:dyDescent="0.3">
      <c r="A90">
        <v>1229</v>
      </c>
      <c r="B90" t="s">
        <v>16</v>
      </c>
      <c r="C90" t="s">
        <v>18</v>
      </c>
      <c r="D90">
        <v>1</v>
      </c>
      <c r="E90">
        <v>87.87</v>
      </c>
      <c r="F90">
        <v>84</v>
      </c>
      <c r="G90">
        <v>86</v>
      </c>
      <c r="H90">
        <v>94</v>
      </c>
      <c r="I90">
        <v>94</v>
      </c>
      <c r="J90">
        <v>94</v>
      </c>
      <c r="K90">
        <v>95</v>
      </c>
      <c r="L90">
        <v>80</v>
      </c>
      <c r="M90" t="s">
        <v>22</v>
      </c>
      <c r="N90" t="s">
        <v>19</v>
      </c>
      <c r="O90" t="s">
        <v>35</v>
      </c>
      <c r="P90">
        <v>1</v>
      </c>
    </row>
    <row r="91" spans="1:16" x14ac:dyDescent="0.3">
      <c r="A91">
        <v>1230</v>
      </c>
      <c r="B91" t="s">
        <v>16</v>
      </c>
      <c r="C91" t="s">
        <v>17</v>
      </c>
      <c r="D91">
        <v>1</v>
      </c>
      <c r="E91">
        <v>86.01</v>
      </c>
      <c r="F91">
        <v>77</v>
      </c>
      <c r="G91">
        <v>60</v>
      </c>
      <c r="H91">
        <v>78</v>
      </c>
      <c r="I91">
        <v>94</v>
      </c>
      <c r="J91">
        <v>88</v>
      </c>
      <c r="K91">
        <v>90</v>
      </c>
      <c r="L91">
        <v>93</v>
      </c>
      <c r="M91" t="s">
        <v>32</v>
      </c>
      <c r="N91" t="s">
        <v>16</v>
      </c>
      <c r="O91" t="s">
        <v>16</v>
      </c>
      <c r="P91">
        <v>2</v>
      </c>
    </row>
    <row r="92" spans="1:16" x14ac:dyDescent="0.3">
      <c r="A92">
        <v>1231</v>
      </c>
      <c r="B92" t="s">
        <v>16</v>
      </c>
      <c r="C92" t="s">
        <v>17</v>
      </c>
      <c r="D92">
        <v>1</v>
      </c>
      <c r="E92">
        <v>89.46</v>
      </c>
      <c r="F92">
        <v>87</v>
      </c>
      <c r="G92">
        <v>92</v>
      </c>
      <c r="H92">
        <v>81</v>
      </c>
      <c r="I92">
        <v>95</v>
      </c>
      <c r="J92">
        <v>89</v>
      </c>
      <c r="K92">
        <v>92</v>
      </c>
      <c r="L92">
        <v>86</v>
      </c>
      <c r="M92" t="s">
        <v>22</v>
      </c>
      <c r="N92" t="s">
        <v>19</v>
      </c>
      <c r="O92" t="s">
        <v>16</v>
      </c>
      <c r="P92">
        <v>2</v>
      </c>
    </row>
    <row r="93" spans="1:16" x14ac:dyDescent="0.3">
      <c r="A93">
        <v>1232</v>
      </c>
      <c r="B93" t="s">
        <v>16</v>
      </c>
      <c r="C93" t="s">
        <v>18</v>
      </c>
      <c r="D93">
        <v>1</v>
      </c>
      <c r="E93">
        <v>86.96</v>
      </c>
      <c r="F93">
        <v>92</v>
      </c>
      <c r="G93">
        <v>86</v>
      </c>
      <c r="H93">
        <v>94</v>
      </c>
      <c r="I93">
        <v>95</v>
      </c>
      <c r="J93">
        <v>95</v>
      </c>
      <c r="K93">
        <v>94</v>
      </c>
      <c r="L93">
        <v>84</v>
      </c>
      <c r="M93" t="s">
        <v>30</v>
      </c>
      <c r="N93" t="s">
        <v>19</v>
      </c>
      <c r="O93" t="s">
        <v>16</v>
      </c>
      <c r="P93">
        <v>1</v>
      </c>
    </row>
    <row r="94" spans="1:16" x14ac:dyDescent="0.3">
      <c r="A94">
        <v>1233</v>
      </c>
      <c r="B94" t="s">
        <v>16</v>
      </c>
      <c r="C94" t="s">
        <v>17</v>
      </c>
      <c r="D94">
        <v>1</v>
      </c>
      <c r="E94">
        <v>86.87</v>
      </c>
      <c r="F94">
        <v>82</v>
      </c>
      <c r="G94">
        <v>77</v>
      </c>
      <c r="H94">
        <v>85</v>
      </c>
      <c r="I94">
        <v>95</v>
      </c>
      <c r="J94">
        <v>94</v>
      </c>
      <c r="K94">
        <v>90</v>
      </c>
      <c r="L94">
        <v>80</v>
      </c>
      <c r="M94" t="s">
        <v>31</v>
      </c>
      <c r="N94" t="s">
        <v>19</v>
      </c>
      <c r="O94" t="s">
        <v>16</v>
      </c>
      <c r="P94">
        <v>0</v>
      </c>
    </row>
    <row r="95" spans="1:16" x14ac:dyDescent="0.3">
      <c r="A95">
        <v>1234</v>
      </c>
      <c r="B95" t="s">
        <v>16</v>
      </c>
      <c r="C95" t="s">
        <v>18</v>
      </c>
      <c r="D95">
        <v>1</v>
      </c>
      <c r="E95">
        <v>91.61</v>
      </c>
      <c r="F95">
        <v>93</v>
      </c>
      <c r="G95">
        <v>82</v>
      </c>
      <c r="H95">
        <v>95</v>
      </c>
      <c r="I95">
        <v>95</v>
      </c>
      <c r="J95">
        <v>94</v>
      </c>
      <c r="K95">
        <v>100</v>
      </c>
      <c r="L95">
        <v>93</v>
      </c>
      <c r="M95" t="s">
        <v>43</v>
      </c>
      <c r="N95" t="s">
        <v>19</v>
      </c>
      <c r="O95" t="s">
        <v>35</v>
      </c>
      <c r="P95">
        <v>1</v>
      </c>
    </row>
    <row r="96" spans="1:16" x14ac:dyDescent="0.3">
      <c r="A96">
        <v>1235</v>
      </c>
      <c r="B96" t="s">
        <v>16</v>
      </c>
      <c r="C96" t="s">
        <v>18</v>
      </c>
      <c r="D96">
        <v>1</v>
      </c>
      <c r="E96">
        <v>88.54</v>
      </c>
      <c r="F96">
        <v>89</v>
      </c>
      <c r="G96">
        <v>86</v>
      </c>
      <c r="H96">
        <v>96</v>
      </c>
      <c r="I96">
        <v>96</v>
      </c>
      <c r="J96">
        <v>96</v>
      </c>
      <c r="K96">
        <v>87</v>
      </c>
      <c r="L96">
        <v>81</v>
      </c>
      <c r="M96" t="s">
        <v>44</v>
      </c>
      <c r="N96" t="s">
        <v>19</v>
      </c>
      <c r="O96" t="s">
        <v>16</v>
      </c>
      <c r="P96">
        <v>0</v>
      </c>
    </row>
    <row r="97" spans="1:16" x14ac:dyDescent="0.3">
      <c r="A97">
        <v>1236</v>
      </c>
      <c r="B97" t="s">
        <v>16</v>
      </c>
      <c r="C97" t="s">
        <v>18</v>
      </c>
      <c r="D97">
        <v>1</v>
      </c>
      <c r="E97">
        <v>87.63</v>
      </c>
      <c r="F97">
        <v>82</v>
      </c>
      <c r="G97">
        <v>81</v>
      </c>
      <c r="H97">
        <v>97</v>
      </c>
      <c r="I97">
        <v>97</v>
      </c>
      <c r="J97">
        <v>88</v>
      </c>
      <c r="K97">
        <v>91</v>
      </c>
      <c r="L97">
        <v>68</v>
      </c>
      <c r="M97" t="s">
        <v>27</v>
      </c>
      <c r="N97" t="s">
        <v>19</v>
      </c>
      <c r="O97" t="s">
        <v>16</v>
      </c>
      <c r="P97">
        <v>0</v>
      </c>
    </row>
    <row r="98" spans="1:16" x14ac:dyDescent="0.3">
      <c r="A98">
        <v>1237</v>
      </c>
      <c r="B98" t="s">
        <v>16</v>
      </c>
      <c r="C98" t="s">
        <v>17</v>
      </c>
      <c r="D98">
        <v>1</v>
      </c>
      <c r="E98">
        <v>91.74</v>
      </c>
      <c r="F98">
        <v>94</v>
      </c>
      <c r="G98">
        <v>100</v>
      </c>
      <c r="H98">
        <v>96</v>
      </c>
      <c r="I98">
        <v>97</v>
      </c>
      <c r="J98">
        <v>95</v>
      </c>
      <c r="K98">
        <v>94</v>
      </c>
      <c r="L98">
        <v>93</v>
      </c>
      <c r="M98" t="s">
        <v>20</v>
      </c>
      <c r="N98" t="s">
        <v>19</v>
      </c>
      <c r="O98" t="s">
        <v>35</v>
      </c>
      <c r="P98">
        <v>2</v>
      </c>
    </row>
    <row r="99" spans="1:16" x14ac:dyDescent="0.3">
      <c r="A99">
        <v>1238</v>
      </c>
      <c r="B99" t="s">
        <v>16</v>
      </c>
      <c r="C99" t="s">
        <v>17</v>
      </c>
      <c r="D99">
        <v>1</v>
      </c>
      <c r="E99">
        <v>91.14</v>
      </c>
      <c r="F99">
        <v>98</v>
      </c>
      <c r="G99">
        <v>90</v>
      </c>
      <c r="H99">
        <v>98</v>
      </c>
      <c r="I99">
        <v>97</v>
      </c>
      <c r="J99">
        <v>83</v>
      </c>
      <c r="K99">
        <v>93</v>
      </c>
      <c r="L99">
        <v>89</v>
      </c>
      <c r="M99" t="s">
        <v>44</v>
      </c>
      <c r="N99" t="s">
        <v>19</v>
      </c>
      <c r="O99" t="s">
        <v>16</v>
      </c>
      <c r="P99">
        <v>1</v>
      </c>
    </row>
    <row r="100" spans="1:16" x14ac:dyDescent="0.3">
      <c r="A100">
        <v>1239</v>
      </c>
      <c r="B100" t="s">
        <v>16</v>
      </c>
      <c r="C100" t="s">
        <v>17</v>
      </c>
      <c r="D100">
        <v>1</v>
      </c>
      <c r="E100">
        <v>90.31</v>
      </c>
      <c r="F100">
        <v>84</v>
      </c>
      <c r="G100">
        <v>82</v>
      </c>
      <c r="H100">
        <v>99</v>
      </c>
      <c r="I100">
        <v>97</v>
      </c>
      <c r="J100">
        <v>89</v>
      </c>
      <c r="K100">
        <v>96</v>
      </c>
      <c r="L100">
        <v>85</v>
      </c>
      <c r="M100" t="s">
        <v>33</v>
      </c>
      <c r="N100" t="s">
        <v>19</v>
      </c>
      <c r="O100" t="s">
        <v>16</v>
      </c>
      <c r="P100">
        <v>2</v>
      </c>
    </row>
    <row r="101" spans="1:16" x14ac:dyDescent="0.3">
      <c r="A101">
        <v>1240</v>
      </c>
      <c r="B101" t="s">
        <v>19</v>
      </c>
      <c r="C101" t="s">
        <v>17</v>
      </c>
      <c r="D101">
        <v>1</v>
      </c>
      <c r="E101">
        <v>88.1</v>
      </c>
      <c r="F101">
        <v>87</v>
      </c>
      <c r="G101">
        <v>70</v>
      </c>
      <c r="H101">
        <v>95</v>
      </c>
      <c r="I101">
        <v>97</v>
      </c>
      <c r="J101">
        <v>91</v>
      </c>
      <c r="K101">
        <v>93</v>
      </c>
      <c r="L101">
        <v>82</v>
      </c>
      <c r="M101" t="s">
        <v>45</v>
      </c>
      <c r="N101" t="s">
        <v>19</v>
      </c>
      <c r="O101" t="s">
        <v>16</v>
      </c>
      <c r="P101">
        <v>0</v>
      </c>
    </row>
    <row r="102" spans="1:16" x14ac:dyDescent="0.3">
      <c r="A102">
        <v>1241</v>
      </c>
      <c r="B102" t="s">
        <v>16</v>
      </c>
      <c r="C102" t="s">
        <v>18</v>
      </c>
      <c r="D102">
        <v>1</v>
      </c>
      <c r="E102">
        <v>88.34</v>
      </c>
      <c r="F102">
        <v>87</v>
      </c>
      <c r="G102">
        <v>83</v>
      </c>
      <c r="H102">
        <v>92</v>
      </c>
      <c r="I102">
        <v>98</v>
      </c>
      <c r="J102">
        <v>93</v>
      </c>
      <c r="K102">
        <v>86</v>
      </c>
      <c r="L102">
        <v>90</v>
      </c>
      <c r="M102" t="s">
        <v>30</v>
      </c>
      <c r="N102" t="s">
        <v>19</v>
      </c>
      <c r="O102" t="s">
        <v>16</v>
      </c>
      <c r="P102">
        <v>1</v>
      </c>
    </row>
    <row r="103" spans="1:16" x14ac:dyDescent="0.3">
      <c r="A103">
        <v>1242</v>
      </c>
      <c r="B103" t="s">
        <v>19</v>
      </c>
      <c r="C103" t="s">
        <v>17</v>
      </c>
      <c r="D103">
        <v>1</v>
      </c>
      <c r="E103">
        <v>89.84</v>
      </c>
      <c r="F103">
        <v>98</v>
      </c>
      <c r="G103">
        <v>77</v>
      </c>
      <c r="H103">
        <v>95</v>
      </c>
      <c r="I103">
        <v>98</v>
      </c>
      <c r="J103">
        <v>96</v>
      </c>
      <c r="K103">
        <v>88</v>
      </c>
      <c r="L103">
        <v>100</v>
      </c>
      <c r="M103" t="s">
        <v>16</v>
      </c>
      <c r="N103" t="s">
        <v>19</v>
      </c>
      <c r="O103" t="s">
        <v>16</v>
      </c>
      <c r="P103">
        <v>1</v>
      </c>
    </row>
    <row r="104" spans="1:16" x14ac:dyDescent="0.3">
      <c r="A104">
        <v>1243</v>
      </c>
      <c r="B104" t="s">
        <v>19</v>
      </c>
      <c r="C104" t="s">
        <v>17</v>
      </c>
      <c r="D104">
        <v>1</v>
      </c>
      <c r="E104">
        <v>88.82</v>
      </c>
      <c r="F104">
        <v>83</v>
      </c>
      <c r="G104">
        <v>80</v>
      </c>
      <c r="H104">
        <v>91</v>
      </c>
      <c r="I104">
        <v>98</v>
      </c>
      <c r="J104">
        <v>93</v>
      </c>
      <c r="K104">
        <v>95</v>
      </c>
      <c r="L104">
        <v>71</v>
      </c>
      <c r="M104" t="s">
        <v>39</v>
      </c>
      <c r="N104" t="s">
        <v>19</v>
      </c>
      <c r="O104" t="s">
        <v>16</v>
      </c>
      <c r="P104">
        <v>2</v>
      </c>
    </row>
    <row r="105" spans="1:16" x14ac:dyDescent="0.3">
      <c r="A105">
        <v>1244</v>
      </c>
      <c r="B105" t="s">
        <v>16</v>
      </c>
      <c r="C105" t="s">
        <v>17</v>
      </c>
      <c r="D105">
        <v>1</v>
      </c>
      <c r="E105">
        <v>86.6</v>
      </c>
      <c r="F105">
        <v>92</v>
      </c>
      <c r="G105">
        <v>82</v>
      </c>
      <c r="H105">
        <v>91</v>
      </c>
      <c r="I105">
        <v>99</v>
      </c>
      <c r="J105">
        <v>94</v>
      </c>
      <c r="K105">
        <v>82</v>
      </c>
      <c r="L105">
        <v>78</v>
      </c>
      <c r="M105" t="s">
        <v>35</v>
      </c>
      <c r="N105" t="s">
        <v>19</v>
      </c>
      <c r="O105" t="s">
        <v>16</v>
      </c>
      <c r="P105">
        <v>2</v>
      </c>
    </row>
    <row r="106" spans="1:16" x14ac:dyDescent="0.3">
      <c r="A106">
        <v>1245</v>
      </c>
      <c r="B106" t="s">
        <v>16</v>
      </c>
      <c r="C106" t="s">
        <v>17</v>
      </c>
      <c r="D106">
        <v>1</v>
      </c>
      <c r="E106">
        <v>93.71</v>
      </c>
      <c r="F106">
        <v>93</v>
      </c>
      <c r="G106">
        <v>97</v>
      </c>
      <c r="H106">
        <v>99</v>
      </c>
      <c r="I106">
        <v>100</v>
      </c>
      <c r="J106">
        <v>97</v>
      </c>
      <c r="K106">
        <v>90</v>
      </c>
      <c r="L106">
        <v>90</v>
      </c>
      <c r="M106" t="s">
        <v>28</v>
      </c>
      <c r="N106" t="s">
        <v>19</v>
      </c>
      <c r="O106" t="s">
        <v>16</v>
      </c>
      <c r="P106">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69B5103-0FDD-44C9-B958-91ECB3DE067E}">
  <ds:schemaRefs/>
</ds:datastoreItem>
</file>

<file path=customXml/itemProps2.xml><?xml version="1.0" encoding="utf-8"?>
<ds:datastoreItem xmlns:ds="http://schemas.openxmlformats.org/officeDocument/2006/customXml" ds:itemID="{C648D5CB-D17B-47DD-9958-B57081177DA5}">
  <ds:schemaRefs/>
</ds:datastoreItem>
</file>

<file path=customXml/itemProps3.xml><?xml version="1.0" encoding="utf-8"?>
<ds:datastoreItem xmlns:ds="http://schemas.openxmlformats.org/officeDocument/2006/customXml" ds:itemID="{FDC4E4E7-118A-422E-ABC8-35E6D2B0EDD1}">
  <ds:schemaRefs/>
</ds:datastoreItem>
</file>

<file path=customXml/itemProps4.xml><?xml version="1.0" encoding="utf-8"?>
<ds:datastoreItem xmlns:ds="http://schemas.openxmlformats.org/officeDocument/2006/customXml" ds:itemID="{AB961EBC-C416-4A85-9206-3AE96C169681}">
  <ds:schemaRefs/>
</ds:datastoreItem>
</file>

<file path=customXml/itemProps5.xml><?xml version="1.0" encoding="utf-8"?>
<ds:datastoreItem xmlns:ds="http://schemas.openxmlformats.org/officeDocument/2006/customXml" ds:itemID="{C9493F97-36A6-490C-A35C-733B88B341F0}">
  <ds:schemaRefs/>
</ds:datastoreItem>
</file>

<file path=customXml/itemProps6.xml><?xml version="1.0" encoding="utf-8"?>
<ds:datastoreItem xmlns:ds="http://schemas.openxmlformats.org/officeDocument/2006/customXml" ds:itemID="{61EEC57A-76DE-4192-A742-298C78B9BA67}">
  <ds:schemaRefs/>
</ds:datastoreItem>
</file>

<file path=customXml/itemProps7.xml><?xml version="1.0" encoding="utf-8"?>
<ds:datastoreItem xmlns:ds="http://schemas.openxmlformats.org/officeDocument/2006/customXml" ds:itemID="{1F2C2FCA-FB2A-41BD-AB87-87A6A0777FC0}">
  <ds:schemaRefs/>
</ds:datastoreItem>
</file>

<file path=customXml/itemProps8.xml><?xml version="1.0" encoding="utf-8"?>
<ds:datastoreItem xmlns:ds="http://schemas.openxmlformats.org/officeDocument/2006/customXml" ds:itemID="{073FBBF2-987B-4EF7-8D27-E7377D97CEB2}">
  <ds:schemaRefs/>
</ds:datastoreItem>
</file>

<file path=customXml/itemProps9.xml><?xml version="1.0" encoding="utf-8"?>
<ds:datastoreItem xmlns:ds="http://schemas.openxmlformats.org/officeDocument/2006/customXml" ds:itemID="{F3AE9C10-FE93-4F58-8A30-40B1F4C2E949}">
  <ds:schemaRefs>
    <ds:schemaRef ds:uri="http://schemas.microsoft.com/DataMashup"/>
  </ds:schemaRefs>
</ds:datastoreItem>
</file>

<file path=customXml/itemProps10.xml><?xml version="1.0" encoding="utf-8"?>
<ds:datastoreItem xmlns:ds="http://schemas.openxmlformats.org/officeDocument/2006/customXml" ds:itemID="{6CE6813C-709B-4AF1-BB79-BD617682E205}">
  <ds:schemaRefs/>
</ds:datastoreItem>
</file>

<file path=customXml/itemProps11.xml><?xml version="1.0" encoding="utf-8"?>
<ds:datastoreItem xmlns:ds="http://schemas.openxmlformats.org/officeDocument/2006/customXml" ds:itemID="{507DC279-94D3-49BC-9B39-B20A72B734A8}">
  <ds:schemaRefs/>
</ds:datastoreItem>
</file>

<file path=customXml/itemProps12.xml><?xml version="1.0" encoding="utf-8"?>
<ds:datastoreItem xmlns:ds="http://schemas.openxmlformats.org/officeDocument/2006/customXml" ds:itemID="{8112C823-FCF9-4532-9B0F-588C2DFA5A95}">
  <ds:schemaRefs/>
</ds:datastoreItem>
</file>

<file path=customXml/itemProps13.xml><?xml version="1.0" encoding="utf-8"?>
<ds:datastoreItem xmlns:ds="http://schemas.openxmlformats.org/officeDocument/2006/customXml" ds:itemID="{2A8C5AC5-0067-43F9-BD85-8AD0A43A11BF}">
  <ds:schemaRefs/>
</ds:datastoreItem>
</file>

<file path=customXml/itemProps14.xml><?xml version="1.0" encoding="utf-8"?>
<ds:datastoreItem xmlns:ds="http://schemas.openxmlformats.org/officeDocument/2006/customXml" ds:itemID="{F9962410-5278-41CE-806B-EF8A8AC10630}">
  <ds:schemaRefs/>
</ds:datastoreItem>
</file>

<file path=customXml/itemProps15.xml><?xml version="1.0" encoding="utf-8"?>
<ds:datastoreItem xmlns:ds="http://schemas.openxmlformats.org/officeDocument/2006/customXml" ds:itemID="{14BDCD61-8493-4385-8155-AF9CF959DEAE}">
  <ds:schemaRefs/>
</ds:datastoreItem>
</file>

<file path=customXml/itemProps16.xml><?xml version="1.0" encoding="utf-8"?>
<ds:datastoreItem xmlns:ds="http://schemas.openxmlformats.org/officeDocument/2006/customXml" ds:itemID="{D68E7048-1550-46D6-B425-F00AF962379F}">
  <ds:schemaRefs/>
</ds:datastoreItem>
</file>

<file path=customXml/itemProps17.xml><?xml version="1.0" encoding="utf-8"?>
<ds:datastoreItem xmlns:ds="http://schemas.openxmlformats.org/officeDocument/2006/customXml" ds:itemID="{0ABF609A-05BE-4D36-A1CD-2FF56817EA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and chart</vt:lpstr>
      <vt:lpstr>Dashboard</vt:lpstr>
      <vt:lpstr>Dashboard (2)</vt:lpstr>
      <vt:lpstr>dataSet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Suyash Pokharkar</cp:lastModifiedBy>
  <dcterms:created xsi:type="dcterms:W3CDTF">2026-06-17T13:12:20Z</dcterms:created>
  <dcterms:modified xsi:type="dcterms:W3CDTF">2026-06-29T12:26:14Z</dcterms:modified>
</cp:coreProperties>
</file>